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24a4346fbc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Import" sheetId="1" r:id="R4642c77a9f85486d"/>
    <x:sheet xmlns:r="http://schemas.openxmlformats.org/officeDocument/2006/relationships" name="Config" sheetId="2" r:id="Rdec1e3767f40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M#,##0.00"/>
    <x:numFmt numFmtId="201" formatCode="¥#,##0"/>
    <x:numFmt numFmtId="202" formatCode="0"/>
    <x:numFmt numFmtId="203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6"/>
      <x:color rgb="FF17352B"/>
      <x:name val="Arial"/>
    </x:font>
    <x:font>
      <x:i/>
      <x:sz val="10"/>
      <x:color rgb="FF5C655F"/>
      <x:name val="Arial"/>
    </x:font>
    <x:font>
      <x:sz val="10"/>
      <x:color rgb="FF242A2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52B"/>
      </x:patternFill>
    </x:fill>
    <x:fill>
      <x:patternFill patternType="solid">
        <x:fgColor rgb="FFFFF4CC"/>
      </x:patternFill>
    </x:fill>
  </x:fills>
  <x:borders count="4">
    <x:border/>
    <x:border>
      <x:left style="thin">
        <x:color rgb="FFD9DED8"/>
      </x:left>
      <x:right style="thin">
        <x:color rgb="FFD9DED8"/>
      </x:right>
      <x:top style="thin">
        <x:color rgb="FFD9DED8"/>
      </x:top>
      <x:bottom style="thin">
        <x:color rgb="FFD9DED8"/>
      </x:bottom>
    </x:border>
    <x:border>
      <x:bottom style="thin">
        <x:color rgb="FFE1E6E0"/>
      </x:bottom>
    </x:border>
    <x:border>
      <x:top style="thin">
        <x:color rgb="FFE1E6E0"/>
      </x:top>
      <x:bottom style="thin">
        <x:color rgb="FFE1E6E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0" fontId="6" fillId="3" borderId="2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/>
    </x:xf>
    <x:xf numFmtId="201" fontId="6" fillId="3" borderId="2" xfId="0" applyNumberFormat="1" applyFont="1" applyFill="1" applyBorder="1" applyAlignment="1">
      <x:alignment vertical="center" wrapText="1"/>
    </x:xf>
    <x:xf numFmtId="201" fontId="3" fillId="3" borderId="3" xfId="0" applyNumberFormat="1" applyFont="1" applyFill="1" applyBorder="1" applyAlignment="1">
      <x:alignment vertical="center"/>
    </x:xf>
    <x:xf numFmtId="202" fontId="6" fillId="3" borderId="2" xfId="0" applyNumberFormat="1" applyFont="1" applyFill="1" applyBorder="1" applyAlignment="1">
      <x:alignment vertical="center" wrapText="1"/>
    </x:xf>
    <x:xf numFmtId="202" fontId="3" fillId="3" borderId="3" xfId="0" applyNumberFormat="1" applyFont="1" applyFill="1" applyBorder="1" applyAlignment="1">
      <x:alignment vertical="center"/>
    </x:xf>
    <x:xf numFmtId="203" fontId="6" fillId="3" borderId="2" xfId="0" applyNumberFormat="1" applyFont="1" applyFill="1" applyBorder="1" applyAlignment="1">
      <x:alignment vertical="center" wrapText="1"/>
    </x:xf>
    <x:xf numFmtId="203" fontId="3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8b83e13bd4e3c" /><Relationship Type="http://schemas.openxmlformats.org/officeDocument/2006/relationships/theme" Target="/xl/theme/theme1.xml" Id="R96005df0914348d1" /><Relationship Type="http://schemas.openxmlformats.org/officeDocument/2006/relationships/sharedStrings" Target="/xl/sharedStrings.xml" Id="Rcda2168431fa4f38" /><Relationship Type="http://schemas.openxmlformats.org/officeDocument/2006/relationships/worksheet" Target="/xl/worksheets/sheet1.xml" Id="R4642c77a9f85486d" /><Relationship Type="http://schemas.openxmlformats.org/officeDocument/2006/relationships/worksheet" Target="/xl/worksheets/sheet2.xml" Id="Rdec1e3767f404b9c" /></Relationships>
</file>

<file path=xl/tables/table1.xml><?xml version="1.0" encoding="utf-8"?>
<x:table xmlns:x="http://schemas.openxmlformats.org/spreadsheetml/2006/main" id="1" name="ProductImportTable" displayName="ProductImportTable" ref="A4:Q105" headerRowCount="1" totalsRowCount="0" totalsRowShown="0">
  <x:tableColumns count="17">
    <x:tableColumn id="1" name="product_id"/>
    <x:tableColumn id="2" name="location_code"/>
    <x:tableColumn id="3" name="brand"/>
    <x:tableColumn id="4" name="brand_code"/>
    <x:tableColumn id="5" name="id_number"/>
    <x:tableColumn id="6" name="model"/>
    <x:tableColumn id="7" name="category"/>
    <x:tableColumn id="8" name="price"/>
    <x:tableColumn id="9" name="store"/>
    <x:tableColumn id="10" name="subtitle"/>
    <x:tableColumn id="11" name="japan_price"/>
    <x:tableColumn id="12" name="condition"/>
    <x:tableColumn id="13" name="grade"/>
    <x:tableColumn id="14" name="status"/>
    <x:tableColumn id="15" name="drop_id"/>
    <x:tableColumn id="16" name="description"/>
    <x:tableColumn id="17" name="imag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8772ddacdd4d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6" hidden="0" customWidth="1"/>
    <x:col min="4" max="4" width="12" hidden="0" customWidth="1"/>
    <x:col min="5" max="5" width="12" hidden="0" customWidth="1"/>
    <x:col min="6" max="6" width="24" hidden="0" customWidth="1"/>
    <x:col min="7" max="7" width="16" hidden="0" customWidth="1"/>
    <x:col min="8" max="8" width="13" hidden="0" customWidth="1"/>
    <x:col min="9" max="9" width="18" hidden="0" customWidth="1"/>
    <x:col min="10" max="10" width="30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6" hidden="0" customWidth="1"/>
    <x:col min="17" max="17" width="24" hidden="0" customWidth="1"/>
  </x:cols>
  <x:sheetData>
    <x:row r="1" ht="28" customHeight="1">
      <x:c r="A1" s="9" t="str">
        <x:v>RIMSTACKLE · TEMPLATE IMPORT PRODUK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</x:row>
    <x:row r="2" ht="30" customHeight="1">
      <x:c r="A2" s="11" t="str">
        <x:v>Isi ruang kuning. Product ID dijana automatik daripada Kod tempat + Short form brand + Nombor ID. Jangan ubah nama header.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</x:row>
    <x:row r="4" ht="30" customHeight="1">
      <x:c r="A4" s="13" t="str">
        <x:v>product_id</x:v>
      </x:c>
      <x:c r="B4" s="13" t="str">
        <x:v>location_code</x:v>
      </x:c>
      <x:c r="C4" s="13" t="str">
        <x:v>brand</x:v>
      </x:c>
      <x:c r="D4" s="13" t="str">
        <x:v>brand_code</x:v>
      </x:c>
      <x:c r="E4" s="13" t="str">
        <x:v>id_number</x:v>
      </x:c>
      <x:c r="F4" s="13" t="str">
        <x:v>model</x:v>
      </x:c>
      <x:c r="G4" s="13" t="str">
        <x:v>category</x:v>
      </x:c>
      <x:c r="H4" s="13" t="str">
        <x:v>price</x:v>
      </x:c>
      <x:c r="I4" s="13" t="str">
        <x:v>store</x:v>
      </x:c>
      <x:c r="J4" s="13" t="str">
        <x:v>subtitle</x:v>
      </x:c>
      <x:c r="K4" s="13" t="str">
        <x:v>japan_price</x:v>
      </x:c>
      <x:c r="L4" s="13" t="str">
        <x:v>condition</x:v>
      </x:c>
      <x:c r="M4" s="13" t="str">
        <x:v>grade</x:v>
      </x:c>
      <x:c r="N4" s="13" t="str">
        <x:v>status</x:v>
      </x:c>
      <x:c r="O4" s="13" t="str">
        <x:v>drop_id</x:v>
      </x:c>
      <x:c r="P4" s="13" t="str">
        <x:v>description</x:v>
      </x:c>
      <x:c r="Q4" s="13" t="str">
        <x:v>images</x:v>
      </x:c>
    </x:row>
    <x:row r="5" ht="34" customHeight="1">
      <x:c r="A5" s="18" t="str">
        <x:f>IF(OR(B5="",D5="",E5=""),"",UPPER(B5)&amp;"-"&amp;UPPER(D5)&amp;"-"&amp;E5)</x:f>
        <x:v>TKY03-SHI-0125</x:v>
      </x:c>
      <x:c r="B5" s="18" t="str">
        <x:v>TKY03</x:v>
      </x:c>
      <x:c r="C5" s="18" t="str">
        <x:v>Shimano</x:v>
      </x:c>
      <x:c r="D5" s="18" t="str">
        <x:f>IFERROR(VLOOKUP(C5,Config!$A$2:$B$8,2,FALSE),"")</x:f>
        <x:v>SHI</x:v>
      </x:c>
      <x:c r="E5" s="27" t="str">
        <x:v>0125</x:v>
      </x:c>
      <x:c r="F5" s="18" t="str">
        <x:v>Antares DC MD</x:v>
      </x:c>
      <x:c r="G5" s="18" t="str">
        <x:v>Reel</x:v>
      </x:c>
      <x:c r="H5" s="21" t="n">
        <x:v>1850</x:v>
      </x:c>
      <x:c r="I5" s="18" t="str">
        <x:v>Kedai Shibuya</x:v>
      </x:c>
      <x:c r="J5" s="18" t="str">
        <x:v>Baitcasting · Pemegang kanan</x:v>
      </x:c>
      <x:c r="K5" s="23"/>
      <x:c r="L5" s="18" t="str">
        <x:v>Terpakai</x:v>
      </x:c>
      <x:c r="M5" s="25" t="n">
        <x:v>8</x:v>
      </x:c>
      <x:c r="N5" s="18" t="str">
        <x:v>AVAILABLE</x:v>
      </x:c>
      <x:c r="O5" s="18" t="str">
        <x:v>drop-0007</x:v>
      </x:c>
      <x:c r="P5" s="18" t="str">
        <x:v>Contoh produk untuk rujukan.</x:v>
      </x:c>
      <x:c r="Q5" s="18" t="str"/>
    </x:row>
    <x:row r="6">
      <x:c r="A6" s="19" t="str">
        <x:f>IF(OR(B6="",D6="",E6=""),"",UPPER(B6)&amp;"-"&amp;UPPER(D6)&amp;"-"&amp;E6)</x:f>
      </x:c>
      <x:c r="B6" s="20"/>
      <x:c r="C6" s="20"/>
      <x:c r="D6" s="19" t="str">
        <x:f>IFERROR(VLOOKUP(C6,Config!$A$2:$B$8,2,FALSE),"")</x:f>
      </x:c>
      <x:c r="E6" s="28"/>
      <x:c r="F6" s="20"/>
      <x:c r="G6" s="20"/>
      <x:c r="H6" s="22"/>
      <x:c r="I6" s="20"/>
      <x:c r="J6" s="20"/>
      <x:c r="K6" s="24"/>
      <x:c r="L6" s="20"/>
      <x:c r="M6" s="26"/>
      <x:c r="N6" s="20"/>
      <x:c r="O6" s="20"/>
      <x:c r="P6" s="20"/>
      <x:c r="Q6" s="20"/>
    </x:row>
    <x:row r="7">
      <x:c r="A7" s="19" t="str">
        <x:f>IF(OR(B7="",D7="",E7=""),"",UPPER(B7)&amp;"-"&amp;UPPER(D7)&amp;"-"&amp;E7)</x:f>
      </x:c>
      <x:c r="B7" s="20"/>
      <x:c r="C7" s="20"/>
      <x:c r="D7" s="19" t="str">
        <x:f>IFERROR(VLOOKUP(C7,Config!$A$2:$B$8,2,FALSE),"")</x:f>
      </x:c>
      <x:c r="E7" s="28"/>
      <x:c r="F7" s="20"/>
      <x:c r="G7" s="20"/>
      <x:c r="H7" s="22"/>
      <x:c r="I7" s="20"/>
      <x:c r="J7" s="20"/>
      <x:c r="K7" s="24"/>
      <x:c r="L7" s="20"/>
      <x:c r="M7" s="26"/>
      <x:c r="N7" s="20"/>
      <x:c r="O7" s="20"/>
      <x:c r="P7" s="20"/>
      <x:c r="Q7" s="20"/>
    </x:row>
    <x:row r="8">
      <x:c r="A8" s="19" t="str">
        <x:f>IF(OR(B8="",D8="",E8=""),"",UPPER(B8)&amp;"-"&amp;UPPER(D8)&amp;"-"&amp;E8)</x:f>
      </x:c>
      <x:c r="B8" s="20"/>
      <x:c r="C8" s="20"/>
      <x:c r="D8" s="19" t="str">
        <x:f>IFERROR(VLOOKUP(C8,Config!$A$2:$B$8,2,FALSE),"")</x:f>
      </x:c>
      <x:c r="E8" s="28"/>
      <x:c r="F8" s="20"/>
      <x:c r="G8" s="20"/>
      <x:c r="H8" s="22"/>
      <x:c r="I8" s="20"/>
      <x:c r="J8" s="20"/>
      <x:c r="K8" s="24"/>
      <x:c r="L8" s="20"/>
      <x:c r="M8" s="26"/>
      <x:c r="N8" s="20"/>
      <x:c r="O8" s="20"/>
      <x:c r="P8" s="20"/>
      <x:c r="Q8" s="20"/>
    </x:row>
    <x:row r="9">
      <x:c r="A9" s="19" t="str">
        <x:f>IF(OR(B9="",D9="",E9=""),"",UPPER(B9)&amp;"-"&amp;UPPER(D9)&amp;"-"&amp;E9)</x:f>
      </x:c>
      <x:c r="B9" s="20"/>
      <x:c r="C9" s="20"/>
      <x:c r="D9" s="19" t="str">
        <x:f>IFERROR(VLOOKUP(C9,Config!$A$2:$B$8,2,FALSE),"")</x:f>
      </x:c>
      <x:c r="E9" s="28"/>
      <x:c r="F9" s="20"/>
      <x:c r="G9" s="20"/>
      <x:c r="H9" s="22"/>
      <x:c r="I9" s="20"/>
      <x:c r="J9" s="20"/>
      <x:c r="K9" s="24"/>
      <x:c r="L9" s="20"/>
      <x:c r="M9" s="26"/>
      <x:c r="N9" s="20"/>
      <x:c r="O9" s="20"/>
      <x:c r="P9" s="20"/>
      <x:c r="Q9" s="20"/>
    </x:row>
    <x:row r="10">
      <x:c r="A10" s="19" t="str">
        <x:f>IF(OR(B10="",D10="",E10=""),"",UPPER(B10)&amp;"-"&amp;UPPER(D10)&amp;"-"&amp;E10)</x:f>
      </x:c>
      <x:c r="B10" s="20"/>
      <x:c r="C10" s="20"/>
      <x:c r="D10" s="19" t="str">
        <x:f>IFERROR(VLOOKUP(C10,Config!$A$2:$B$8,2,FALSE),"")</x:f>
      </x:c>
      <x:c r="E10" s="28"/>
      <x:c r="F10" s="20"/>
      <x:c r="G10" s="20"/>
      <x:c r="H10" s="22"/>
      <x:c r="I10" s="20"/>
      <x:c r="J10" s="20"/>
      <x:c r="K10" s="24"/>
      <x:c r="L10" s="20"/>
      <x:c r="M10" s="26"/>
      <x:c r="N10" s="20"/>
      <x:c r="O10" s="20"/>
      <x:c r="P10" s="20"/>
      <x:c r="Q10" s="20"/>
    </x:row>
    <x:row r="11">
      <x:c r="A11" s="19" t="str">
        <x:f>IF(OR(B11="",D11="",E11=""),"",UPPER(B11)&amp;"-"&amp;UPPER(D11)&amp;"-"&amp;E11)</x:f>
      </x:c>
      <x:c r="B11" s="20"/>
      <x:c r="C11" s="20"/>
      <x:c r="D11" s="19" t="str">
        <x:f>IFERROR(VLOOKUP(C11,Config!$A$2:$B$8,2,FALSE),"")</x:f>
      </x:c>
      <x:c r="E11" s="28"/>
      <x:c r="F11" s="20"/>
      <x:c r="G11" s="20"/>
      <x:c r="H11" s="22"/>
      <x:c r="I11" s="20"/>
      <x:c r="J11" s="20"/>
      <x:c r="K11" s="24"/>
      <x:c r="L11" s="20"/>
      <x:c r="M11" s="26"/>
      <x:c r="N11" s="20"/>
      <x:c r="O11" s="20"/>
      <x:c r="P11" s="20"/>
      <x:c r="Q11" s="20"/>
    </x:row>
    <x:row r="12">
      <x:c r="A12" s="19" t="str">
        <x:f>IF(OR(B12="",D12="",E12=""),"",UPPER(B12)&amp;"-"&amp;UPPER(D12)&amp;"-"&amp;E12)</x:f>
      </x:c>
      <x:c r="B12" s="20"/>
      <x:c r="C12" s="20"/>
      <x:c r="D12" s="19" t="str">
        <x:f>IFERROR(VLOOKUP(C12,Config!$A$2:$B$8,2,FALSE),"")</x:f>
      </x:c>
      <x:c r="E12" s="28"/>
      <x:c r="F12" s="20"/>
      <x:c r="G12" s="20"/>
      <x:c r="H12" s="22"/>
      <x:c r="I12" s="20"/>
      <x:c r="J12" s="20"/>
      <x:c r="K12" s="24"/>
      <x:c r="L12" s="20"/>
      <x:c r="M12" s="26"/>
      <x:c r="N12" s="20"/>
      <x:c r="O12" s="20"/>
      <x:c r="P12" s="20"/>
      <x:c r="Q12" s="20"/>
    </x:row>
    <x:row r="13">
      <x:c r="A13" s="19" t="str">
        <x:f>IF(OR(B13="",D13="",E13=""),"",UPPER(B13)&amp;"-"&amp;UPPER(D13)&amp;"-"&amp;E13)</x:f>
      </x:c>
      <x:c r="B13" s="20"/>
      <x:c r="C13" s="20"/>
      <x:c r="D13" s="19" t="str">
        <x:f>IFERROR(VLOOKUP(C13,Config!$A$2:$B$8,2,FALSE),"")</x:f>
      </x:c>
      <x:c r="E13" s="28"/>
      <x:c r="F13" s="20"/>
      <x:c r="G13" s="20"/>
      <x:c r="H13" s="22"/>
      <x:c r="I13" s="20"/>
      <x:c r="J13" s="20"/>
      <x:c r="K13" s="24"/>
      <x:c r="L13" s="20"/>
      <x:c r="M13" s="26"/>
      <x:c r="N13" s="20"/>
      <x:c r="O13" s="20"/>
      <x:c r="P13" s="20"/>
      <x:c r="Q13" s="20"/>
    </x:row>
    <x:row r="14">
      <x:c r="A14" s="19" t="str">
        <x:f>IF(OR(B14="",D14="",E14=""),"",UPPER(B14)&amp;"-"&amp;UPPER(D14)&amp;"-"&amp;E14)</x:f>
      </x:c>
      <x:c r="B14" s="20"/>
      <x:c r="C14" s="20"/>
      <x:c r="D14" s="19" t="str">
        <x:f>IFERROR(VLOOKUP(C14,Config!$A$2:$B$8,2,FALSE),"")</x:f>
      </x:c>
      <x:c r="E14" s="28"/>
      <x:c r="F14" s="20"/>
      <x:c r="G14" s="20"/>
      <x:c r="H14" s="22"/>
      <x:c r="I14" s="20"/>
      <x:c r="J14" s="20"/>
      <x:c r="K14" s="24"/>
      <x:c r="L14" s="20"/>
      <x:c r="M14" s="26"/>
      <x:c r="N14" s="20"/>
      <x:c r="O14" s="20"/>
      <x:c r="P14" s="20"/>
      <x:c r="Q14" s="20"/>
    </x:row>
    <x:row r="15">
      <x:c r="A15" s="19" t="str">
        <x:f>IF(OR(B15="",D15="",E15=""),"",UPPER(B15)&amp;"-"&amp;UPPER(D15)&amp;"-"&amp;E15)</x:f>
      </x:c>
      <x:c r="B15" s="20"/>
      <x:c r="C15" s="20"/>
      <x:c r="D15" s="19" t="str">
        <x:f>IFERROR(VLOOKUP(C15,Config!$A$2:$B$8,2,FALSE),"")</x:f>
      </x:c>
      <x:c r="E15" s="28"/>
      <x:c r="F15" s="20"/>
      <x:c r="G15" s="20"/>
      <x:c r="H15" s="22"/>
      <x:c r="I15" s="20"/>
      <x:c r="J15" s="20"/>
      <x:c r="K15" s="24"/>
      <x:c r="L15" s="20"/>
      <x:c r="M15" s="26"/>
      <x:c r="N15" s="20"/>
      <x:c r="O15" s="20"/>
      <x:c r="P15" s="20"/>
      <x:c r="Q15" s="20"/>
    </x:row>
    <x:row r="16">
      <x:c r="A16" s="19" t="str">
        <x:f>IF(OR(B16="",D16="",E16=""),"",UPPER(B16)&amp;"-"&amp;UPPER(D16)&amp;"-"&amp;E16)</x:f>
      </x:c>
      <x:c r="B16" s="20"/>
      <x:c r="C16" s="20"/>
      <x:c r="D16" s="19" t="str">
        <x:f>IFERROR(VLOOKUP(C16,Config!$A$2:$B$8,2,FALSE),"")</x:f>
      </x:c>
      <x:c r="E16" s="28"/>
      <x:c r="F16" s="20"/>
      <x:c r="G16" s="20"/>
      <x:c r="H16" s="22"/>
      <x:c r="I16" s="20"/>
      <x:c r="J16" s="20"/>
      <x:c r="K16" s="24"/>
      <x:c r="L16" s="20"/>
      <x:c r="M16" s="26"/>
      <x:c r="N16" s="20"/>
      <x:c r="O16" s="20"/>
      <x:c r="P16" s="20"/>
      <x:c r="Q16" s="20"/>
    </x:row>
    <x:row r="17">
      <x:c r="A17" s="19" t="str">
        <x:f>IF(OR(B17="",D17="",E17=""),"",UPPER(B17)&amp;"-"&amp;UPPER(D17)&amp;"-"&amp;E17)</x:f>
      </x:c>
      <x:c r="B17" s="20"/>
      <x:c r="C17" s="20"/>
      <x:c r="D17" s="19" t="str">
        <x:f>IFERROR(VLOOKUP(C17,Config!$A$2:$B$8,2,FALSE),"")</x:f>
      </x:c>
      <x:c r="E17" s="28"/>
      <x:c r="F17" s="20"/>
      <x:c r="G17" s="20"/>
      <x:c r="H17" s="22"/>
      <x:c r="I17" s="20"/>
      <x:c r="J17" s="20"/>
      <x:c r="K17" s="24"/>
      <x:c r="L17" s="20"/>
      <x:c r="M17" s="26"/>
      <x:c r="N17" s="20"/>
      <x:c r="O17" s="20"/>
      <x:c r="P17" s="20"/>
      <x:c r="Q17" s="20"/>
    </x:row>
    <x:row r="18">
      <x:c r="A18" s="19" t="str">
        <x:f>IF(OR(B18="",D18="",E18=""),"",UPPER(B18)&amp;"-"&amp;UPPER(D18)&amp;"-"&amp;E18)</x:f>
      </x:c>
      <x:c r="B18" s="20"/>
      <x:c r="C18" s="20"/>
      <x:c r="D18" s="19" t="str">
        <x:f>IFERROR(VLOOKUP(C18,Config!$A$2:$B$8,2,FALSE),"")</x:f>
      </x:c>
      <x:c r="E18" s="28"/>
      <x:c r="F18" s="20"/>
      <x:c r="G18" s="20"/>
      <x:c r="H18" s="22"/>
      <x:c r="I18" s="20"/>
      <x:c r="J18" s="20"/>
      <x:c r="K18" s="24"/>
      <x:c r="L18" s="20"/>
      <x:c r="M18" s="26"/>
      <x:c r="N18" s="20"/>
      <x:c r="O18" s="20"/>
      <x:c r="P18" s="20"/>
      <x:c r="Q18" s="20"/>
    </x:row>
    <x:row r="19">
      <x:c r="A19" s="19" t="str">
        <x:f>IF(OR(B19="",D19="",E19=""),"",UPPER(B19)&amp;"-"&amp;UPPER(D19)&amp;"-"&amp;E19)</x:f>
      </x:c>
      <x:c r="B19" s="20"/>
      <x:c r="C19" s="20"/>
      <x:c r="D19" s="19" t="str">
        <x:f>IFERROR(VLOOKUP(C19,Config!$A$2:$B$8,2,FALSE),"")</x:f>
      </x:c>
      <x:c r="E19" s="28"/>
      <x:c r="F19" s="20"/>
      <x:c r="G19" s="20"/>
      <x:c r="H19" s="22"/>
      <x:c r="I19" s="20"/>
      <x:c r="J19" s="20"/>
      <x:c r="K19" s="24"/>
      <x:c r="L19" s="20"/>
      <x:c r="M19" s="26"/>
      <x:c r="N19" s="20"/>
      <x:c r="O19" s="20"/>
      <x:c r="P19" s="20"/>
      <x:c r="Q19" s="20"/>
    </x:row>
    <x:row r="20">
      <x:c r="A20" s="19" t="str">
        <x:f>IF(OR(B20="",D20="",E20=""),"",UPPER(B20)&amp;"-"&amp;UPPER(D20)&amp;"-"&amp;E20)</x:f>
      </x:c>
      <x:c r="B20" s="20"/>
      <x:c r="C20" s="20"/>
      <x:c r="D20" s="19" t="str">
        <x:f>IFERROR(VLOOKUP(C20,Config!$A$2:$B$8,2,FALSE),"")</x:f>
      </x:c>
      <x:c r="E20" s="28"/>
      <x:c r="F20" s="20"/>
      <x:c r="G20" s="20"/>
      <x:c r="H20" s="22"/>
      <x:c r="I20" s="20"/>
      <x:c r="J20" s="20"/>
      <x:c r="K20" s="24"/>
      <x:c r="L20" s="20"/>
      <x:c r="M20" s="26"/>
      <x:c r="N20" s="20"/>
      <x:c r="O20" s="20"/>
      <x:c r="P20" s="20"/>
      <x:c r="Q20" s="20"/>
    </x:row>
    <x:row r="21">
      <x:c r="A21" s="19" t="str">
        <x:f>IF(OR(B21="",D21="",E21=""),"",UPPER(B21)&amp;"-"&amp;UPPER(D21)&amp;"-"&amp;E21)</x:f>
      </x:c>
      <x:c r="B21" s="20"/>
      <x:c r="C21" s="20"/>
      <x:c r="D21" s="19" t="str">
        <x:f>IFERROR(VLOOKUP(C21,Config!$A$2:$B$8,2,FALSE),"")</x:f>
      </x:c>
      <x:c r="E21" s="28"/>
      <x:c r="F21" s="20"/>
      <x:c r="G21" s="20"/>
      <x:c r="H21" s="22"/>
      <x:c r="I21" s="20"/>
      <x:c r="J21" s="20"/>
      <x:c r="K21" s="24"/>
      <x:c r="L21" s="20"/>
      <x:c r="M21" s="26"/>
      <x:c r="N21" s="20"/>
      <x:c r="O21" s="20"/>
      <x:c r="P21" s="20"/>
      <x:c r="Q21" s="20"/>
    </x:row>
    <x:row r="22">
      <x:c r="A22" s="19" t="str">
        <x:f>IF(OR(B22="",D22="",E22=""),"",UPPER(B22)&amp;"-"&amp;UPPER(D22)&amp;"-"&amp;E22)</x:f>
      </x:c>
      <x:c r="B22" s="20"/>
      <x:c r="C22" s="20"/>
      <x:c r="D22" s="19" t="str">
        <x:f>IFERROR(VLOOKUP(C22,Config!$A$2:$B$8,2,FALSE),"")</x:f>
      </x:c>
      <x:c r="E22" s="28"/>
      <x:c r="F22" s="20"/>
      <x:c r="G22" s="20"/>
      <x:c r="H22" s="22"/>
      <x:c r="I22" s="20"/>
      <x:c r="J22" s="20"/>
      <x:c r="K22" s="24"/>
      <x:c r="L22" s="20"/>
      <x:c r="M22" s="26"/>
      <x:c r="N22" s="20"/>
      <x:c r="O22" s="20"/>
      <x:c r="P22" s="20"/>
      <x:c r="Q22" s="20"/>
    </x:row>
    <x:row r="23">
      <x:c r="A23" s="19" t="str">
        <x:f>IF(OR(B23="",D23="",E23=""),"",UPPER(B23)&amp;"-"&amp;UPPER(D23)&amp;"-"&amp;E23)</x:f>
      </x:c>
      <x:c r="B23" s="20"/>
      <x:c r="C23" s="20"/>
      <x:c r="D23" s="19" t="str">
        <x:f>IFERROR(VLOOKUP(C23,Config!$A$2:$B$8,2,FALSE),"")</x:f>
      </x:c>
      <x:c r="E23" s="28"/>
      <x:c r="F23" s="20"/>
      <x:c r="G23" s="20"/>
      <x:c r="H23" s="22"/>
      <x:c r="I23" s="20"/>
      <x:c r="J23" s="20"/>
      <x:c r="K23" s="24"/>
      <x:c r="L23" s="20"/>
      <x:c r="M23" s="26"/>
      <x:c r="N23" s="20"/>
      <x:c r="O23" s="20"/>
      <x:c r="P23" s="20"/>
      <x:c r="Q23" s="20"/>
    </x:row>
    <x:row r="24">
      <x:c r="A24" s="19" t="str">
        <x:f>IF(OR(B24="",D24="",E24=""),"",UPPER(B24)&amp;"-"&amp;UPPER(D24)&amp;"-"&amp;E24)</x:f>
      </x:c>
      <x:c r="B24" s="20"/>
      <x:c r="C24" s="20"/>
      <x:c r="D24" s="19" t="str">
        <x:f>IFERROR(VLOOKUP(C24,Config!$A$2:$B$8,2,FALSE),"")</x:f>
      </x:c>
      <x:c r="E24" s="28"/>
      <x:c r="F24" s="20"/>
      <x:c r="G24" s="20"/>
      <x:c r="H24" s="22"/>
      <x:c r="I24" s="20"/>
      <x:c r="J24" s="20"/>
      <x:c r="K24" s="24"/>
      <x:c r="L24" s="20"/>
      <x:c r="M24" s="26"/>
      <x:c r="N24" s="20"/>
      <x:c r="O24" s="20"/>
      <x:c r="P24" s="20"/>
      <x:c r="Q24" s="20"/>
    </x:row>
    <x:row r="25">
      <x:c r="A25" s="19" t="str">
        <x:f>IF(OR(B25="",D25="",E25=""),"",UPPER(B25)&amp;"-"&amp;UPPER(D25)&amp;"-"&amp;E25)</x:f>
      </x:c>
      <x:c r="B25" s="20"/>
      <x:c r="C25" s="20"/>
      <x:c r="D25" s="19" t="str">
        <x:f>IFERROR(VLOOKUP(C25,Config!$A$2:$B$8,2,FALSE),"")</x:f>
      </x:c>
      <x:c r="E25" s="28"/>
      <x:c r="F25" s="20"/>
      <x:c r="G25" s="20"/>
      <x:c r="H25" s="22"/>
      <x:c r="I25" s="20"/>
      <x:c r="J25" s="20"/>
      <x:c r="K25" s="24"/>
      <x:c r="L25" s="20"/>
      <x:c r="M25" s="26"/>
      <x:c r="N25" s="20"/>
      <x:c r="O25" s="20"/>
      <x:c r="P25" s="20"/>
      <x:c r="Q25" s="20"/>
    </x:row>
    <x:row r="26">
      <x:c r="A26" s="19" t="str">
        <x:f>IF(OR(B26="",D26="",E26=""),"",UPPER(B26)&amp;"-"&amp;UPPER(D26)&amp;"-"&amp;E26)</x:f>
      </x:c>
      <x:c r="B26" s="20"/>
      <x:c r="C26" s="20"/>
      <x:c r="D26" s="19" t="str">
        <x:f>IFERROR(VLOOKUP(C26,Config!$A$2:$B$8,2,FALSE),"")</x:f>
      </x:c>
      <x:c r="E26" s="28"/>
      <x:c r="F26" s="20"/>
      <x:c r="G26" s="20"/>
      <x:c r="H26" s="22"/>
      <x:c r="I26" s="20"/>
      <x:c r="J26" s="20"/>
      <x:c r="K26" s="24"/>
      <x:c r="L26" s="20"/>
      <x:c r="M26" s="26"/>
      <x:c r="N26" s="20"/>
      <x:c r="O26" s="20"/>
      <x:c r="P26" s="20"/>
      <x:c r="Q26" s="20"/>
    </x:row>
    <x:row r="27">
      <x:c r="A27" s="19" t="str">
        <x:f>IF(OR(B27="",D27="",E27=""),"",UPPER(B27)&amp;"-"&amp;UPPER(D27)&amp;"-"&amp;E27)</x:f>
      </x:c>
      <x:c r="B27" s="20"/>
      <x:c r="C27" s="20"/>
      <x:c r="D27" s="19" t="str">
        <x:f>IFERROR(VLOOKUP(C27,Config!$A$2:$B$8,2,FALSE),"")</x:f>
      </x:c>
      <x:c r="E27" s="28"/>
      <x:c r="F27" s="20"/>
      <x:c r="G27" s="20"/>
      <x:c r="H27" s="22"/>
      <x:c r="I27" s="20"/>
      <x:c r="J27" s="20"/>
      <x:c r="K27" s="24"/>
      <x:c r="L27" s="20"/>
      <x:c r="M27" s="26"/>
      <x:c r="N27" s="20"/>
      <x:c r="O27" s="20"/>
      <x:c r="P27" s="20"/>
      <x:c r="Q27" s="20"/>
    </x:row>
    <x:row r="28">
      <x:c r="A28" s="19" t="str">
        <x:f>IF(OR(B28="",D28="",E28=""),"",UPPER(B28)&amp;"-"&amp;UPPER(D28)&amp;"-"&amp;E28)</x:f>
      </x:c>
      <x:c r="B28" s="20"/>
      <x:c r="C28" s="20"/>
      <x:c r="D28" s="19" t="str">
        <x:f>IFERROR(VLOOKUP(C28,Config!$A$2:$B$8,2,FALSE),"")</x:f>
      </x:c>
      <x:c r="E28" s="28"/>
      <x:c r="F28" s="20"/>
      <x:c r="G28" s="20"/>
      <x:c r="H28" s="22"/>
      <x:c r="I28" s="20"/>
      <x:c r="J28" s="20"/>
      <x:c r="K28" s="24"/>
      <x:c r="L28" s="20"/>
      <x:c r="M28" s="26"/>
      <x:c r="N28" s="20"/>
      <x:c r="O28" s="20"/>
      <x:c r="P28" s="20"/>
      <x:c r="Q28" s="20"/>
    </x:row>
    <x:row r="29">
      <x:c r="A29" s="19" t="str">
        <x:f>IF(OR(B29="",D29="",E29=""),"",UPPER(B29)&amp;"-"&amp;UPPER(D29)&amp;"-"&amp;E29)</x:f>
      </x:c>
      <x:c r="B29" s="20"/>
      <x:c r="C29" s="20"/>
      <x:c r="D29" s="19" t="str">
        <x:f>IFERROR(VLOOKUP(C29,Config!$A$2:$B$8,2,FALSE),"")</x:f>
      </x:c>
      <x:c r="E29" s="28"/>
      <x:c r="F29" s="20"/>
      <x:c r="G29" s="20"/>
      <x:c r="H29" s="22"/>
      <x:c r="I29" s="20"/>
      <x:c r="J29" s="20"/>
      <x:c r="K29" s="24"/>
      <x:c r="L29" s="20"/>
      <x:c r="M29" s="26"/>
      <x:c r="N29" s="20"/>
      <x:c r="O29" s="20"/>
      <x:c r="P29" s="20"/>
      <x:c r="Q29" s="20"/>
    </x:row>
    <x:row r="30">
      <x:c r="A30" s="19" t="str">
        <x:f>IF(OR(B30="",D30="",E30=""),"",UPPER(B30)&amp;"-"&amp;UPPER(D30)&amp;"-"&amp;E30)</x:f>
      </x:c>
      <x:c r="B30" s="20"/>
      <x:c r="C30" s="20"/>
      <x:c r="D30" s="19" t="str">
        <x:f>IFERROR(VLOOKUP(C30,Config!$A$2:$B$8,2,FALSE),"")</x:f>
      </x:c>
      <x:c r="E30" s="28"/>
      <x:c r="F30" s="20"/>
      <x:c r="G30" s="20"/>
      <x:c r="H30" s="22"/>
      <x:c r="I30" s="20"/>
      <x:c r="J30" s="20"/>
      <x:c r="K30" s="24"/>
      <x:c r="L30" s="20"/>
      <x:c r="M30" s="26"/>
      <x:c r="N30" s="20"/>
      <x:c r="O30" s="20"/>
      <x:c r="P30" s="20"/>
      <x:c r="Q30" s="20"/>
    </x:row>
    <x:row r="31">
      <x:c r="A31" s="19" t="str">
        <x:f>IF(OR(B31="",D31="",E31=""),"",UPPER(B31)&amp;"-"&amp;UPPER(D31)&amp;"-"&amp;E31)</x:f>
      </x:c>
      <x:c r="B31" s="20"/>
      <x:c r="C31" s="20"/>
      <x:c r="D31" s="19" t="str">
        <x:f>IFERROR(VLOOKUP(C31,Config!$A$2:$B$8,2,FALSE),"")</x:f>
      </x:c>
      <x:c r="E31" s="28"/>
      <x:c r="F31" s="20"/>
      <x:c r="G31" s="20"/>
      <x:c r="H31" s="22"/>
      <x:c r="I31" s="20"/>
      <x:c r="J31" s="20"/>
      <x:c r="K31" s="24"/>
      <x:c r="L31" s="20"/>
      <x:c r="M31" s="26"/>
      <x:c r="N31" s="20"/>
      <x:c r="O31" s="20"/>
      <x:c r="P31" s="20"/>
      <x:c r="Q31" s="20"/>
    </x:row>
    <x:row r="32">
      <x:c r="A32" s="19" t="str">
        <x:f>IF(OR(B32="",D32="",E32=""),"",UPPER(B32)&amp;"-"&amp;UPPER(D32)&amp;"-"&amp;E32)</x:f>
      </x:c>
      <x:c r="B32" s="20"/>
      <x:c r="C32" s="20"/>
      <x:c r="D32" s="19" t="str">
        <x:f>IFERROR(VLOOKUP(C32,Config!$A$2:$B$8,2,FALSE),"")</x:f>
      </x:c>
      <x:c r="E32" s="28"/>
      <x:c r="F32" s="20"/>
      <x:c r="G32" s="20"/>
      <x:c r="H32" s="22"/>
      <x:c r="I32" s="20"/>
      <x:c r="J32" s="20"/>
      <x:c r="K32" s="24"/>
      <x:c r="L32" s="20"/>
      <x:c r="M32" s="26"/>
      <x:c r="N32" s="20"/>
      <x:c r="O32" s="20"/>
      <x:c r="P32" s="20"/>
      <x:c r="Q32" s="20"/>
    </x:row>
    <x:row r="33">
      <x:c r="A33" s="19" t="str">
        <x:f>IF(OR(B33="",D33="",E33=""),"",UPPER(B33)&amp;"-"&amp;UPPER(D33)&amp;"-"&amp;E33)</x:f>
      </x:c>
      <x:c r="B33" s="20"/>
      <x:c r="C33" s="20"/>
      <x:c r="D33" s="19" t="str">
        <x:f>IFERROR(VLOOKUP(C33,Config!$A$2:$B$8,2,FALSE),"")</x:f>
      </x:c>
      <x:c r="E33" s="28"/>
      <x:c r="F33" s="20"/>
      <x:c r="G33" s="20"/>
      <x:c r="H33" s="22"/>
      <x:c r="I33" s="20"/>
      <x:c r="J33" s="20"/>
      <x:c r="K33" s="24"/>
      <x:c r="L33" s="20"/>
      <x:c r="M33" s="26"/>
      <x:c r="N33" s="20"/>
      <x:c r="O33" s="20"/>
      <x:c r="P33" s="20"/>
      <x:c r="Q33" s="20"/>
    </x:row>
    <x:row r="34">
      <x:c r="A34" s="19" t="str">
        <x:f>IF(OR(B34="",D34="",E34=""),"",UPPER(B34)&amp;"-"&amp;UPPER(D34)&amp;"-"&amp;E34)</x:f>
      </x:c>
      <x:c r="B34" s="20"/>
      <x:c r="C34" s="20"/>
      <x:c r="D34" s="19" t="str">
        <x:f>IFERROR(VLOOKUP(C34,Config!$A$2:$B$8,2,FALSE),"")</x:f>
      </x:c>
      <x:c r="E34" s="28"/>
      <x:c r="F34" s="20"/>
      <x:c r="G34" s="20"/>
      <x:c r="H34" s="22"/>
      <x:c r="I34" s="20"/>
      <x:c r="J34" s="20"/>
      <x:c r="K34" s="24"/>
      <x:c r="L34" s="20"/>
      <x:c r="M34" s="26"/>
      <x:c r="N34" s="20"/>
      <x:c r="O34" s="20"/>
      <x:c r="P34" s="20"/>
      <x:c r="Q34" s="20"/>
    </x:row>
    <x:row r="35">
      <x:c r="A35" s="19" t="str">
        <x:f>IF(OR(B35="",D35="",E35=""),"",UPPER(B35)&amp;"-"&amp;UPPER(D35)&amp;"-"&amp;E35)</x:f>
      </x:c>
      <x:c r="B35" s="20"/>
      <x:c r="C35" s="20"/>
      <x:c r="D35" s="19" t="str">
        <x:f>IFERROR(VLOOKUP(C35,Config!$A$2:$B$8,2,FALSE),"")</x:f>
      </x:c>
      <x:c r="E35" s="28"/>
      <x:c r="F35" s="20"/>
      <x:c r="G35" s="20"/>
      <x:c r="H35" s="22"/>
      <x:c r="I35" s="20"/>
      <x:c r="J35" s="20"/>
      <x:c r="K35" s="24"/>
      <x:c r="L35" s="20"/>
      <x:c r="M35" s="26"/>
      <x:c r="N35" s="20"/>
      <x:c r="O35" s="20"/>
      <x:c r="P35" s="20"/>
      <x:c r="Q35" s="20"/>
    </x:row>
    <x:row r="36">
      <x:c r="A36" s="19" t="str">
        <x:f>IF(OR(B36="",D36="",E36=""),"",UPPER(B36)&amp;"-"&amp;UPPER(D36)&amp;"-"&amp;E36)</x:f>
      </x:c>
      <x:c r="B36" s="20"/>
      <x:c r="C36" s="20"/>
      <x:c r="D36" s="19" t="str">
        <x:f>IFERROR(VLOOKUP(C36,Config!$A$2:$B$8,2,FALSE),"")</x:f>
      </x:c>
      <x:c r="E36" s="28"/>
      <x:c r="F36" s="20"/>
      <x:c r="G36" s="20"/>
      <x:c r="H36" s="22"/>
      <x:c r="I36" s="20"/>
      <x:c r="J36" s="20"/>
      <x:c r="K36" s="24"/>
      <x:c r="L36" s="20"/>
      <x:c r="M36" s="26"/>
      <x:c r="N36" s="20"/>
      <x:c r="O36" s="20"/>
      <x:c r="P36" s="20"/>
      <x:c r="Q36" s="20"/>
    </x:row>
    <x:row r="37">
      <x:c r="A37" s="19" t="str">
        <x:f>IF(OR(B37="",D37="",E37=""),"",UPPER(B37)&amp;"-"&amp;UPPER(D37)&amp;"-"&amp;E37)</x:f>
      </x:c>
      <x:c r="B37" s="20"/>
      <x:c r="C37" s="20"/>
      <x:c r="D37" s="19" t="str">
        <x:f>IFERROR(VLOOKUP(C37,Config!$A$2:$B$8,2,FALSE),"")</x:f>
      </x:c>
      <x:c r="E37" s="28"/>
      <x:c r="F37" s="20"/>
      <x:c r="G37" s="20"/>
      <x:c r="H37" s="22"/>
      <x:c r="I37" s="20"/>
      <x:c r="J37" s="20"/>
      <x:c r="K37" s="24"/>
      <x:c r="L37" s="20"/>
      <x:c r="M37" s="26"/>
      <x:c r="N37" s="20"/>
      <x:c r="O37" s="20"/>
      <x:c r="P37" s="20"/>
      <x:c r="Q37" s="20"/>
    </x:row>
    <x:row r="38">
      <x:c r="A38" s="19" t="str">
        <x:f>IF(OR(B38="",D38="",E38=""),"",UPPER(B38)&amp;"-"&amp;UPPER(D38)&amp;"-"&amp;E38)</x:f>
      </x:c>
      <x:c r="B38" s="20"/>
      <x:c r="C38" s="20"/>
      <x:c r="D38" s="19" t="str">
        <x:f>IFERROR(VLOOKUP(C38,Config!$A$2:$B$8,2,FALSE),"")</x:f>
      </x:c>
      <x:c r="E38" s="28"/>
      <x:c r="F38" s="20"/>
      <x:c r="G38" s="20"/>
      <x:c r="H38" s="22"/>
      <x:c r="I38" s="20"/>
      <x:c r="J38" s="20"/>
      <x:c r="K38" s="24"/>
      <x:c r="L38" s="20"/>
      <x:c r="M38" s="26"/>
      <x:c r="N38" s="20"/>
      <x:c r="O38" s="20"/>
      <x:c r="P38" s="20"/>
      <x:c r="Q38" s="20"/>
    </x:row>
    <x:row r="39">
      <x:c r="A39" s="19" t="str">
        <x:f>IF(OR(B39="",D39="",E39=""),"",UPPER(B39)&amp;"-"&amp;UPPER(D39)&amp;"-"&amp;E39)</x:f>
      </x:c>
      <x:c r="B39" s="20"/>
      <x:c r="C39" s="20"/>
      <x:c r="D39" s="19" t="str">
        <x:f>IFERROR(VLOOKUP(C39,Config!$A$2:$B$8,2,FALSE),"")</x:f>
      </x:c>
      <x:c r="E39" s="28"/>
      <x:c r="F39" s="20"/>
      <x:c r="G39" s="20"/>
      <x:c r="H39" s="22"/>
      <x:c r="I39" s="20"/>
      <x:c r="J39" s="20"/>
      <x:c r="K39" s="24"/>
      <x:c r="L39" s="20"/>
      <x:c r="M39" s="26"/>
      <x:c r="N39" s="20"/>
      <x:c r="O39" s="20"/>
      <x:c r="P39" s="20"/>
      <x:c r="Q39" s="20"/>
    </x:row>
    <x:row r="40">
      <x:c r="A40" s="19" t="str">
        <x:f>IF(OR(B40="",D40="",E40=""),"",UPPER(B40)&amp;"-"&amp;UPPER(D40)&amp;"-"&amp;E40)</x:f>
      </x:c>
      <x:c r="B40" s="20"/>
      <x:c r="C40" s="20"/>
      <x:c r="D40" s="19" t="str">
        <x:f>IFERROR(VLOOKUP(C40,Config!$A$2:$B$8,2,FALSE),"")</x:f>
      </x:c>
      <x:c r="E40" s="28"/>
      <x:c r="F40" s="20"/>
      <x:c r="G40" s="20"/>
      <x:c r="H40" s="22"/>
      <x:c r="I40" s="20"/>
      <x:c r="J40" s="20"/>
      <x:c r="K40" s="24"/>
      <x:c r="L40" s="20"/>
      <x:c r="M40" s="26"/>
      <x:c r="N40" s="20"/>
      <x:c r="O40" s="20"/>
      <x:c r="P40" s="20"/>
      <x:c r="Q40" s="20"/>
    </x:row>
    <x:row r="41">
      <x:c r="A41" s="19" t="str">
        <x:f>IF(OR(B41="",D41="",E41=""),"",UPPER(B41)&amp;"-"&amp;UPPER(D41)&amp;"-"&amp;E41)</x:f>
      </x:c>
      <x:c r="B41" s="20"/>
      <x:c r="C41" s="20"/>
      <x:c r="D41" s="19" t="str">
        <x:f>IFERROR(VLOOKUP(C41,Config!$A$2:$B$8,2,FALSE),"")</x:f>
      </x:c>
      <x:c r="E41" s="28"/>
      <x:c r="F41" s="20"/>
      <x:c r="G41" s="20"/>
      <x:c r="H41" s="22"/>
      <x:c r="I41" s="20"/>
      <x:c r="J41" s="20"/>
      <x:c r="K41" s="24"/>
      <x:c r="L41" s="20"/>
      <x:c r="M41" s="26"/>
      <x:c r="N41" s="20"/>
      <x:c r="O41" s="20"/>
      <x:c r="P41" s="20"/>
      <x:c r="Q41" s="20"/>
    </x:row>
    <x:row r="42">
      <x:c r="A42" s="19" t="str">
        <x:f>IF(OR(B42="",D42="",E42=""),"",UPPER(B42)&amp;"-"&amp;UPPER(D42)&amp;"-"&amp;E42)</x:f>
      </x:c>
      <x:c r="B42" s="20"/>
      <x:c r="C42" s="20"/>
      <x:c r="D42" s="19" t="str">
        <x:f>IFERROR(VLOOKUP(C42,Config!$A$2:$B$8,2,FALSE),"")</x:f>
      </x:c>
      <x:c r="E42" s="28"/>
      <x:c r="F42" s="20"/>
      <x:c r="G42" s="20"/>
      <x:c r="H42" s="22"/>
      <x:c r="I42" s="20"/>
      <x:c r="J42" s="20"/>
      <x:c r="K42" s="24"/>
      <x:c r="L42" s="20"/>
      <x:c r="M42" s="26"/>
      <x:c r="N42" s="20"/>
      <x:c r="O42" s="20"/>
      <x:c r="P42" s="20"/>
      <x:c r="Q42" s="20"/>
    </x:row>
    <x:row r="43">
      <x:c r="A43" s="19" t="str">
        <x:f>IF(OR(B43="",D43="",E43=""),"",UPPER(B43)&amp;"-"&amp;UPPER(D43)&amp;"-"&amp;E43)</x:f>
      </x:c>
      <x:c r="B43" s="20"/>
      <x:c r="C43" s="20"/>
      <x:c r="D43" s="19" t="str">
        <x:f>IFERROR(VLOOKUP(C43,Config!$A$2:$B$8,2,FALSE),"")</x:f>
      </x:c>
      <x:c r="E43" s="28"/>
      <x:c r="F43" s="20"/>
      <x:c r="G43" s="20"/>
      <x:c r="H43" s="22"/>
      <x:c r="I43" s="20"/>
      <x:c r="J43" s="20"/>
      <x:c r="K43" s="24"/>
      <x:c r="L43" s="20"/>
      <x:c r="M43" s="26"/>
      <x:c r="N43" s="20"/>
      <x:c r="O43" s="20"/>
      <x:c r="P43" s="20"/>
      <x:c r="Q43" s="20"/>
    </x:row>
    <x:row r="44">
      <x:c r="A44" s="19" t="str">
        <x:f>IF(OR(B44="",D44="",E44=""),"",UPPER(B44)&amp;"-"&amp;UPPER(D44)&amp;"-"&amp;E44)</x:f>
      </x:c>
      <x:c r="B44" s="20"/>
      <x:c r="C44" s="20"/>
      <x:c r="D44" s="19" t="str">
        <x:f>IFERROR(VLOOKUP(C44,Config!$A$2:$B$8,2,FALSE),"")</x:f>
      </x:c>
      <x:c r="E44" s="28"/>
      <x:c r="F44" s="20"/>
      <x:c r="G44" s="20"/>
      <x:c r="H44" s="22"/>
      <x:c r="I44" s="20"/>
      <x:c r="J44" s="20"/>
      <x:c r="K44" s="24"/>
      <x:c r="L44" s="20"/>
      <x:c r="M44" s="26"/>
      <x:c r="N44" s="20"/>
      <x:c r="O44" s="20"/>
      <x:c r="P44" s="20"/>
      <x:c r="Q44" s="20"/>
    </x:row>
    <x:row r="45">
      <x:c r="A45" s="19" t="str">
        <x:f>IF(OR(B45="",D45="",E45=""),"",UPPER(B45)&amp;"-"&amp;UPPER(D45)&amp;"-"&amp;E45)</x:f>
      </x:c>
      <x:c r="B45" s="20"/>
      <x:c r="C45" s="20"/>
      <x:c r="D45" s="19" t="str">
        <x:f>IFERROR(VLOOKUP(C45,Config!$A$2:$B$8,2,FALSE),"")</x:f>
      </x:c>
      <x:c r="E45" s="28"/>
      <x:c r="F45" s="20"/>
      <x:c r="G45" s="20"/>
      <x:c r="H45" s="22"/>
      <x:c r="I45" s="20"/>
      <x:c r="J45" s="20"/>
      <x:c r="K45" s="24"/>
      <x:c r="L45" s="20"/>
      <x:c r="M45" s="26"/>
      <x:c r="N45" s="20"/>
      <x:c r="O45" s="20"/>
      <x:c r="P45" s="20"/>
      <x:c r="Q45" s="20"/>
    </x:row>
    <x:row r="46">
      <x:c r="A46" s="19" t="str">
        <x:f>IF(OR(B46="",D46="",E46=""),"",UPPER(B46)&amp;"-"&amp;UPPER(D46)&amp;"-"&amp;E46)</x:f>
      </x:c>
      <x:c r="B46" s="20"/>
      <x:c r="C46" s="20"/>
      <x:c r="D46" s="19" t="str">
        <x:f>IFERROR(VLOOKUP(C46,Config!$A$2:$B$8,2,FALSE),"")</x:f>
      </x:c>
      <x:c r="E46" s="28"/>
      <x:c r="F46" s="20"/>
      <x:c r="G46" s="20"/>
      <x:c r="H46" s="22"/>
      <x:c r="I46" s="20"/>
      <x:c r="J46" s="20"/>
      <x:c r="K46" s="24"/>
      <x:c r="L46" s="20"/>
      <x:c r="M46" s="26"/>
      <x:c r="N46" s="20"/>
      <x:c r="O46" s="20"/>
      <x:c r="P46" s="20"/>
      <x:c r="Q46" s="20"/>
    </x:row>
    <x:row r="47">
      <x:c r="A47" s="19" t="str">
        <x:f>IF(OR(B47="",D47="",E47=""),"",UPPER(B47)&amp;"-"&amp;UPPER(D47)&amp;"-"&amp;E47)</x:f>
      </x:c>
      <x:c r="B47" s="20"/>
      <x:c r="C47" s="20"/>
      <x:c r="D47" s="19" t="str">
        <x:f>IFERROR(VLOOKUP(C47,Config!$A$2:$B$8,2,FALSE),"")</x:f>
      </x:c>
      <x:c r="E47" s="28"/>
      <x:c r="F47" s="20"/>
      <x:c r="G47" s="20"/>
      <x:c r="H47" s="22"/>
      <x:c r="I47" s="20"/>
      <x:c r="J47" s="20"/>
      <x:c r="K47" s="24"/>
      <x:c r="L47" s="20"/>
      <x:c r="M47" s="26"/>
      <x:c r="N47" s="20"/>
      <x:c r="O47" s="20"/>
      <x:c r="P47" s="20"/>
      <x:c r="Q47" s="20"/>
    </x:row>
    <x:row r="48">
      <x:c r="A48" s="19" t="str">
        <x:f>IF(OR(B48="",D48="",E48=""),"",UPPER(B48)&amp;"-"&amp;UPPER(D48)&amp;"-"&amp;E48)</x:f>
      </x:c>
      <x:c r="B48" s="20"/>
      <x:c r="C48" s="20"/>
      <x:c r="D48" s="19" t="str">
        <x:f>IFERROR(VLOOKUP(C48,Config!$A$2:$B$8,2,FALSE),"")</x:f>
      </x:c>
      <x:c r="E48" s="28"/>
      <x:c r="F48" s="20"/>
      <x:c r="G48" s="20"/>
      <x:c r="H48" s="22"/>
      <x:c r="I48" s="20"/>
      <x:c r="J48" s="20"/>
      <x:c r="K48" s="24"/>
      <x:c r="L48" s="20"/>
      <x:c r="M48" s="26"/>
      <x:c r="N48" s="20"/>
      <x:c r="O48" s="20"/>
      <x:c r="P48" s="20"/>
      <x:c r="Q48" s="20"/>
    </x:row>
    <x:row r="49">
      <x:c r="A49" s="19" t="str">
        <x:f>IF(OR(B49="",D49="",E49=""),"",UPPER(B49)&amp;"-"&amp;UPPER(D49)&amp;"-"&amp;E49)</x:f>
      </x:c>
      <x:c r="B49" s="20"/>
      <x:c r="C49" s="20"/>
      <x:c r="D49" s="19" t="str">
        <x:f>IFERROR(VLOOKUP(C49,Config!$A$2:$B$8,2,FALSE),"")</x:f>
      </x:c>
      <x:c r="E49" s="28"/>
      <x:c r="F49" s="20"/>
      <x:c r="G49" s="20"/>
      <x:c r="H49" s="22"/>
      <x:c r="I49" s="20"/>
      <x:c r="J49" s="20"/>
      <x:c r="K49" s="24"/>
      <x:c r="L49" s="20"/>
      <x:c r="M49" s="26"/>
      <x:c r="N49" s="20"/>
      <x:c r="O49" s="20"/>
      <x:c r="P49" s="20"/>
      <x:c r="Q49" s="20"/>
    </x:row>
    <x:row r="50">
      <x:c r="A50" s="19" t="str">
        <x:f>IF(OR(B50="",D50="",E50=""),"",UPPER(B50)&amp;"-"&amp;UPPER(D50)&amp;"-"&amp;E50)</x:f>
      </x:c>
      <x:c r="B50" s="20"/>
      <x:c r="C50" s="20"/>
      <x:c r="D50" s="19" t="str">
        <x:f>IFERROR(VLOOKUP(C50,Config!$A$2:$B$8,2,FALSE),"")</x:f>
      </x:c>
      <x:c r="E50" s="28"/>
      <x:c r="F50" s="20"/>
      <x:c r="G50" s="20"/>
      <x:c r="H50" s="22"/>
      <x:c r="I50" s="20"/>
      <x:c r="J50" s="20"/>
      <x:c r="K50" s="24"/>
      <x:c r="L50" s="20"/>
      <x:c r="M50" s="26"/>
      <x:c r="N50" s="20"/>
      <x:c r="O50" s="20"/>
      <x:c r="P50" s="20"/>
      <x:c r="Q50" s="20"/>
    </x:row>
    <x:row r="51">
      <x:c r="A51" s="19" t="str">
        <x:f>IF(OR(B51="",D51="",E51=""),"",UPPER(B51)&amp;"-"&amp;UPPER(D51)&amp;"-"&amp;E51)</x:f>
      </x:c>
      <x:c r="B51" s="20"/>
      <x:c r="C51" s="20"/>
      <x:c r="D51" s="19" t="str">
        <x:f>IFERROR(VLOOKUP(C51,Config!$A$2:$B$8,2,FALSE),"")</x:f>
      </x:c>
      <x:c r="E51" s="28"/>
      <x:c r="F51" s="20"/>
      <x:c r="G51" s="20"/>
      <x:c r="H51" s="22"/>
      <x:c r="I51" s="20"/>
      <x:c r="J51" s="20"/>
      <x:c r="K51" s="24"/>
      <x:c r="L51" s="20"/>
      <x:c r="M51" s="26"/>
      <x:c r="N51" s="20"/>
      <x:c r="O51" s="20"/>
      <x:c r="P51" s="20"/>
      <x:c r="Q51" s="20"/>
    </x:row>
    <x:row r="52">
      <x:c r="A52" s="19" t="str">
        <x:f>IF(OR(B52="",D52="",E52=""),"",UPPER(B52)&amp;"-"&amp;UPPER(D52)&amp;"-"&amp;E52)</x:f>
      </x:c>
      <x:c r="B52" s="20"/>
      <x:c r="C52" s="20"/>
      <x:c r="D52" s="19" t="str">
        <x:f>IFERROR(VLOOKUP(C52,Config!$A$2:$B$8,2,FALSE),"")</x:f>
      </x:c>
      <x:c r="E52" s="28"/>
      <x:c r="F52" s="20"/>
      <x:c r="G52" s="20"/>
      <x:c r="H52" s="22"/>
      <x:c r="I52" s="20"/>
      <x:c r="J52" s="20"/>
      <x:c r="K52" s="24"/>
      <x:c r="L52" s="20"/>
      <x:c r="M52" s="26"/>
      <x:c r="N52" s="20"/>
      <x:c r="O52" s="20"/>
      <x:c r="P52" s="20"/>
      <x:c r="Q52" s="20"/>
    </x:row>
    <x:row r="53">
      <x:c r="A53" s="19" t="str">
        <x:f>IF(OR(B53="",D53="",E53=""),"",UPPER(B53)&amp;"-"&amp;UPPER(D53)&amp;"-"&amp;E53)</x:f>
      </x:c>
      <x:c r="B53" s="20"/>
      <x:c r="C53" s="20"/>
      <x:c r="D53" s="19" t="str">
        <x:f>IFERROR(VLOOKUP(C53,Config!$A$2:$B$8,2,FALSE),"")</x:f>
      </x:c>
      <x:c r="E53" s="28"/>
      <x:c r="F53" s="20"/>
      <x:c r="G53" s="20"/>
      <x:c r="H53" s="22"/>
      <x:c r="I53" s="20"/>
      <x:c r="J53" s="20"/>
      <x:c r="K53" s="24"/>
      <x:c r="L53" s="20"/>
      <x:c r="M53" s="26"/>
      <x:c r="N53" s="20"/>
      <x:c r="O53" s="20"/>
      <x:c r="P53" s="20"/>
      <x:c r="Q53" s="20"/>
    </x:row>
    <x:row r="54">
      <x:c r="A54" s="19" t="str">
        <x:f>IF(OR(B54="",D54="",E54=""),"",UPPER(B54)&amp;"-"&amp;UPPER(D54)&amp;"-"&amp;E54)</x:f>
      </x:c>
      <x:c r="B54" s="20"/>
      <x:c r="C54" s="20"/>
      <x:c r="D54" s="19" t="str">
        <x:f>IFERROR(VLOOKUP(C54,Config!$A$2:$B$8,2,FALSE),"")</x:f>
      </x:c>
      <x:c r="E54" s="28"/>
      <x:c r="F54" s="20"/>
      <x:c r="G54" s="20"/>
      <x:c r="H54" s="22"/>
      <x:c r="I54" s="20"/>
      <x:c r="J54" s="20"/>
      <x:c r="K54" s="24"/>
      <x:c r="L54" s="20"/>
      <x:c r="M54" s="26"/>
      <x:c r="N54" s="20"/>
      <x:c r="O54" s="20"/>
      <x:c r="P54" s="20"/>
      <x:c r="Q54" s="20"/>
    </x:row>
    <x:row r="55">
      <x:c r="A55" s="19" t="str">
        <x:f>IF(OR(B55="",D55="",E55=""),"",UPPER(B55)&amp;"-"&amp;UPPER(D55)&amp;"-"&amp;E55)</x:f>
      </x:c>
      <x:c r="B55" s="20"/>
      <x:c r="C55" s="20"/>
      <x:c r="D55" s="19" t="str">
        <x:f>IFERROR(VLOOKUP(C55,Config!$A$2:$B$8,2,FALSE),"")</x:f>
      </x:c>
      <x:c r="E55" s="28"/>
      <x:c r="F55" s="20"/>
      <x:c r="G55" s="20"/>
      <x:c r="H55" s="22"/>
      <x:c r="I55" s="20"/>
      <x:c r="J55" s="20"/>
      <x:c r="K55" s="24"/>
      <x:c r="L55" s="20"/>
      <x:c r="M55" s="26"/>
      <x:c r="N55" s="20"/>
      <x:c r="O55" s="20"/>
      <x:c r="P55" s="20"/>
      <x:c r="Q55" s="20"/>
    </x:row>
    <x:row r="56">
      <x:c r="A56" s="19" t="str">
        <x:f>IF(OR(B56="",D56="",E56=""),"",UPPER(B56)&amp;"-"&amp;UPPER(D56)&amp;"-"&amp;E56)</x:f>
      </x:c>
      <x:c r="B56" s="20"/>
      <x:c r="C56" s="20"/>
      <x:c r="D56" s="19" t="str">
        <x:f>IFERROR(VLOOKUP(C56,Config!$A$2:$B$8,2,FALSE),"")</x:f>
      </x:c>
      <x:c r="E56" s="28"/>
      <x:c r="F56" s="20"/>
      <x:c r="G56" s="20"/>
      <x:c r="H56" s="22"/>
      <x:c r="I56" s="20"/>
      <x:c r="J56" s="20"/>
      <x:c r="K56" s="24"/>
      <x:c r="L56" s="20"/>
      <x:c r="M56" s="26"/>
      <x:c r="N56" s="20"/>
      <x:c r="O56" s="20"/>
      <x:c r="P56" s="20"/>
      <x:c r="Q56" s="20"/>
    </x:row>
    <x:row r="57">
      <x:c r="A57" s="19" t="str">
        <x:f>IF(OR(B57="",D57="",E57=""),"",UPPER(B57)&amp;"-"&amp;UPPER(D57)&amp;"-"&amp;E57)</x:f>
      </x:c>
      <x:c r="B57" s="20"/>
      <x:c r="C57" s="20"/>
      <x:c r="D57" s="19" t="str">
        <x:f>IFERROR(VLOOKUP(C57,Config!$A$2:$B$8,2,FALSE),"")</x:f>
      </x:c>
      <x:c r="E57" s="28"/>
      <x:c r="F57" s="20"/>
      <x:c r="G57" s="20"/>
      <x:c r="H57" s="22"/>
      <x:c r="I57" s="20"/>
      <x:c r="J57" s="20"/>
      <x:c r="K57" s="24"/>
      <x:c r="L57" s="20"/>
      <x:c r="M57" s="26"/>
      <x:c r="N57" s="20"/>
      <x:c r="O57" s="20"/>
      <x:c r="P57" s="20"/>
      <x:c r="Q57" s="20"/>
    </x:row>
    <x:row r="58">
      <x:c r="A58" s="19" t="str">
        <x:f>IF(OR(B58="",D58="",E58=""),"",UPPER(B58)&amp;"-"&amp;UPPER(D58)&amp;"-"&amp;E58)</x:f>
      </x:c>
      <x:c r="B58" s="20"/>
      <x:c r="C58" s="20"/>
      <x:c r="D58" s="19" t="str">
        <x:f>IFERROR(VLOOKUP(C58,Config!$A$2:$B$8,2,FALSE),"")</x:f>
      </x:c>
      <x:c r="E58" s="28"/>
      <x:c r="F58" s="20"/>
      <x:c r="G58" s="20"/>
      <x:c r="H58" s="22"/>
      <x:c r="I58" s="20"/>
      <x:c r="J58" s="20"/>
      <x:c r="K58" s="24"/>
      <x:c r="L58" s="20"/>
      <x:c r="M58" s="26"/>
      <x:c r="N58" s="20"/>
      <x:c r="O58" s="20"/>
      <x:c r="P58" s="20"/>
      <x:c r="Q58" s="20"/>
    </x:row>
    <x:row r="59">
      <x:c r="A59" s="19" t="str">
        <x:f>IF(OR(B59="",D59="",E59=""),"",UPPER(B59)&amp;"-"&amp;UPPER(D59)&amp;"-"&amp;E59)</x:f>
      </x:c>
      <x:c r="B59" s="20"/>
      <x:c r="C59" s="20"/>
      <x:c r="D59" s="19" t="str">
        <x:f>IFERROR(VLOOKUP(C59,Config!$A$2:$B$8,2,FALSE),"")</x:f>
      </x:c>
      <x:c r="E59" s="28"/>
      <x:c r="F59" s="20"/>
      <x:c r="G59" s="20"/>
      <x:c r="H59" s="22"/>
      <x:c r="I59" s="20"/>
      <x:c r="J59" s="20"/>
      <x:c r="K59" s="24"/>
      <x:c r="L59" s="20"/>
      <x:c r="M59" s="26"/>
      <x:c r="N59" s="20"/>
      <x:c r="O59" s="20"/>
      <x:c r="P59" s="20"/>
      <x:c r="Q59" s="20"/>
    </x:row>
    <x:row r="60">
      <x:c r="A60" s="19" t="str">
        <x:f>IF(OR(B60="",D60="",E60=""),"",UPPER(B60)&amp;"-"&amp;UPPER(D60)&amp;"-"&amp;E60)</x:f>
      </x:c>
      <x:c r="B60" s="20"/>
      <x:c r="C60" s="20"/>
      <x:c r="D60" s="19" t="str">
        <x:f>IFERROR(VLOOKUP(C60,Config!$A$2:$B$8,2,FALSE),"")</x:f>
      </x:c>
      <x:c r="E60" s="28"/>
      <x:c r="F60" s="20"/>
      <x:c r="G60" s="20"/>
      <x:c r="H60" s="22"/>
      <x:c r="I60" s="20"/>
      <x:c r="J60" s="20"/>
      <x:c r="K60" s="24"/>
      <x:c r="L60" s="20"/>
      <x:c r="M60" s="26"/>
      <x:c r="N60" s="20"/>
      <x:c r="O60" s="20"/>
      <x:c r="P60" s="20"/>
      <x:c r="Q60" s="20"/>
    </x:row>
    <x:row r="61">
      <x:c r="A61" s="19" t="str">
        <x:f>IF(OR(B61="",D61="",E61=""),"",UPPER(B61)&amp;"-"&amp;UPPER(D61)&amp;"-"&amp;E61)</x:f>
      </x:c>
      <x:c r="B61" s="20"/>
      <x:c r="C61" s="20"/>
      <x:c r="D61" s="19" t="str">
        <x:f>IFERROR(VLOOKUP(C61,Config!$A$2:$B$8,2,FALSE),"")</x:f>
      </x:c>
      <x:c r="E61" s="28"/>
      <x:c r="F61" s="20"/>
      <x:c r="G61" s="20"/>
      <x:c r="H61" s="22"/>
      <x:c r="I61" s="20"/>
      <x:c r="J61" s="20"/>
      <x:c r="K61" s="24"/>
      <x:c r="L61" s="20"/>
      <x:c r="M61" s="26"/>
      <x:c r="N61" s="20"/>
      <x:c r="O61" s="20"/>
      <x:c r="P61" s="20"/>
      <x:c r="Q61" s="20"/>
    </x:row>
    <x:row r="62">
      <x:c r="A62" s="19" t="str">
        <x:f>IF(OR(B62="",D62="",E62=""),"",UPPER(B62)&amp;"-"&amp;UPPER(D62)&amp;"-"&amp;E62)</x:f>
      </x:c>
      <x:c r="B62" s="20"/>
      <x:c r="C62" s="20"/>
      <x:c r="D62" s="19" t="str">
        <x:f>IFERROR(VLOOKUP(C62,Config!$A$2:$B$8,2,FALSE),"")</x:f>
      </x:c>
      <x:c r="E62" s="28"/>
      <x:c r="F62" s="20"/>
      <x:c r="G62" s="20"/>
      <x:c r="H62" s="22"/>
      <x:c r="I62" s="20"/>
      <x:c r="J62" s="20"/>
      <x:c r="K62" s="24"/>
      <x:c r="L62" s="20"/>
      <x:c r="M62" s="26"/>
      <x:c r="N62" s="20"/>
      <x:c r="O62" s="20"/>
      <x:c r="P62" s="20"/>
      <x:c r="Q62" s="20"/>
    </x:row>
    <x:row r="63">
      <x:c r="A63" s="19" t="str">
        <x:f>IF(OR(B63="",D63="",E63=""),"",UPPER(B63)&amp;"-"&amp;UPPER(D63)&amp;"-"&amp;E63)</x:f>
      </x:c>
      <x:c r="B63" s="20"/>
      <x:c r="C63" s="20"/>
      <x:c r="D63" s="19" t="str">
        <x:f>IFERROR(VLOOKUP(C63,Config!$A$2:$B$8,2,FALSE),"")</x:f>
      </x:c>
      <x:c r="E63" s="28"/>
      <x:c r="F63" s="20"/>
      <x:c r="G63" s="20"/>
      <x:c r="H63" s="22"/>
      <x:c r="I63" s="20"/>
      <x:c r="J63" s="20"/>
      <x:c r="K63" s="24"/>
      <x:c r="L63" s="20"/>
      <x:c r="M63" s="26"/>
      <x:c r="N63" s="20"/>
      <x:c r="O63" s="20"/>
      <x:c r="P63" s="20"/>
      <x:c r="Q63" s="20"/>
    </x:row>
    <x:row r="64">
      <x:c r="A64" s="19" t="str">
        <x:f>IF(OR(B64="",D64="",E64=""),"",UPPER(B64)&amp;"-"&amp;UPPER(D64)&amp;"-"&amp;E64)</x:f>
      </x:c>
      <x:c r="B64" s="20"/>
      <x:c r="C64" s="20"/>
      <x:c r="D64" s="19" t="str">
        <x:f>IFERROR(VLOOKUP(C64,Config!$A$2:$B$8,2,FALSE),"")</x:f>
      </x:c>
      <x:c r="E64" s="28"/>
      <x:c r="F64" s="20"/>
      <x:c r="G64" s="20"/>
      <x:c r="H64" s="22"/>
      <x:c r="I64" s="20"/>
      <x:c r="J64" s="20"/>
      <x:c r="K64" s="24"/>
      <x:c r="L64" s="20"/>
      <x:c r="M64" s="26"/>
      <x:c r="N64" s="20"/>
      <x:c r="O64" s="20"/>
      <x:c r="P64" s="20"/>
      <x:c r="Q64" s="20"/>
    </x:row>
    <x:row r="65">
      <x:c r="A65" s="19" t="str">
        <x:f>IF(OR(B65="",D65="",E65=""),"",UPPER(B65)&amp;"-"&amp;UPPER(D65)&amp;"-"&amp;E65)</x:f>
      </x:c>
      <x:c r="B65" s="20"/>
      <x:c r="C65" s="20"/>
      <x:c r="D65" s="19" t="str">
        <x:f>IFERROR(VLOOKUP(C65,Config!$A$2:$B$8,2,FALSE),"")</x:f>
      </x:c>
      <x:c r="E65" s="28"/>
      <x:c r="F65" s="20"/>
      <x:c r="G65" s="20"/>
      <x:c r="H65" s="22"/>
      <x:c r="I65" s="20"/>
      <x:c r="J65" s="20"/>
      <x:c r="K65" s="24"/>
      <x:c r="L65" s="20"/>
      <x:c r="M65" s="26"/>
      <x:c r="N65" s="20"/>
      <x:c r="O65" s="20"/>
      <x:c r="P65" s="20"/>
      <x:c r="Q65" s="20"/>
    </x:row>
    <x:row r="66">
      <x:c r="A66" s="19" t="str">
        <x:f>IF(OR(B66="",D66="",E66=""),"",UPPER(B66)&amp;"-"&amp;UPPER(D66)&amp;"-"&amp;E66)</x:f>
      </x:c>
      <x:c r="B66" s="20"/>
      <x:c r="C66" s="20"/>
      <x:c r="D66" s="19" t="str">
        <x:f>IFERROR(VLOOKUP(C66,Config!$A$2:$B$8,2,FALSE),"")</x:f>
      </x:c>
      <x:c r="E66" s="28"/>
      <x:c r="F66" s="20"/>
      <x:c r="G66" s="20"/>
      <x:c r="H66" s="22"/>
      <x:c r="I66" s="20"/>
      <x:c r="J66" s="20"/>
      <x:c r="K66" s="24"/>
      <x:c r="L66" s="20"/>
      <x:c r="M66" s="26"/>
      <x:c r="N66" s="20"/>
      <x:c r="O66" s="20"/>
      <x:c r="P66" s="20"/>
      <x:c r="Q66" s="20"/>
    </x:row>
    <x:row r="67">
      <x:c r="A67" s="19" t="str">
        <x:f>IF(OR(B67="",D67="",E67=""),"",UPPER(B67)&amp;"-"&amp;UPPER(D67)&amp;"-"&amp;E67)</x:f>
      </x:c>
      <x:c r="B67" s="20"/>
      <x:c r="C67" s="20"/>
      <x:c r="D67" s="19" t="str">
        <x:f>IFERROR(VLOOKUP(C67,Config!$A$2:$B$8,2,FALSE),"")</x:f>
      </x:c>
      <x:c r="E67" s="28"/>
      <x:c r="F67" s="20"/>
      <x:c r="G67" s="20"/>
      <x:c r="H67" s="22"/>
      <x:c r="I67" s="20"/>
      <x:c r="J67" s="20"/>
      <x:c r="K67" s="24"/>
      <x:c r="L67" s="20"/>
      <x:c r="M67" s="26"/>
      <x:c r="N67" s="20"/>
      <x:c r="O67" s="20"/>
      <x:c r="P67" s="20"/>
      <x:c r="Q67" s="20"/>
    </x:row>
    <x:row r="68">
      <x:c r="A68" s="19" t="str">
        <x:f>IF(OR(B68="",D68="",E68=""),"",UPPER(B68)&amp;"-"&amp;UPPER(D68)&amp;"-"&amp;E68)</x:f>
      </x:c>
      <x:c r="B68" s="20"/>
      <x:c r="C68" s="20"/>
      <x:c r="D68" s="19" t="str">
        <x:f>IFERROR(VLOOKUP(C68,Config!$A$2:$B$8,2,FALSE),"")</x:f>
      </x:c>
      <x:c r="E68" s="28"/>
      <x:c r="F68" s="20"/>
      <x:c r="G68" s="20"/>
      <x:c r="H68" s="22"/>
      <x:c r="I68" s="20"/>
      <x:c r="J68" s="20"/>
      <x:c r="K68" s="24"/>
      <x:c r="L68" s="20"/>
      <x:c r="M68" s="26"/>
      <x:c r="N68" s="20"/>
      <x:c r="O68" s="20"/>
      <x:c r="P68" s="20"/>
      <x:c r="Q68" s="20"/>
    </x:row>
    <x:row r="69">
      <x:c r="A69" s="19" t="str">
        <x:f>IF(OR(B69="",D69="",E69=""),"",UPPER(B69)&amp;"-"&amp;UPPER(D69)&amp;"-"&amp;E69)</x:f>
      </x:c>
      <x:c r="B69" s="20"/>
      <x:c r="C69" s="20"/>
      <x:c r="D69" s="19" t="str">
        <x:f>IFERROR(VLOOKUP(C69,Config!$A$2:$B$8,2,FALSE),"")</x:f>
      </x:c>
      <x:c r="E69" s="28"/>
      <x:c r="F69" s="20"/>
      <x:c r="G69" s="20"/>
      <x:c r="H69" s="22"/>
      <x:c r="I69" s="20"/>
      <x:c r="J69" s="20"/>
      <x:c r="K69" s="24"/>
      <x:c r="L69" s="20"/>
      <x:c r="M69" s="26"/>
      <x:c r="N69" s="20"/>
      <x:c r="O69" s="20"/>
      <x:c r="P69" s="20"/>
      <x:c r="Q69" s="20"/>
    </x:row>
    <x:row r="70">
      <x:c r="A70" s="19" t="str">
        <x:f>IF(OR(B70="",D70="",E70=""),"",UPPER(B70)&amp;"-"&amp;UPPER(D70)&amp;"-"&amp;E70)</x:f>
      </x:c>
      <x:c r="B70" s="20"/>
      <x:c r="C70" s="20"/>
      <x:c r="D70" s="19" t="str">
        <x:f>IFERROR(VLOOKUP(C70,Config!$A$2:$B$8,2,FALSE),"")</x:f>
      </x:c>
      <x:c r="E70" s="28"/>
      <x:c r="F70" s="20"/>
      <x:c r="G70" s="20"/>
      <x:c r="H70" s="22"/>
      <x:c r="I70" s="20"/>
      <x:c r="J70" s="20"/>
      <x:c r="K70" s="24"/>
      <x:c r="L70" s="20"/>
      <x:c r="M70" s="26"/>
      <x:c r="N70" s="20"/>
      <x:c r="O70" s="20"/>
      <x:c r="P70" s="20"/>
      <x:c r="Q70" s="20"/>
    </x:row>
    <x:row r="71">
      <x:c r="A71" s="19" t="str">
        <x:f>IF(OR(B71="",D71="",E71=""),"",UPPER(B71)&amp;"-"&amp;UPPER(D71)&amp;"-"&amp;E71)</x:f>
      </x:c>
      <x:c r="B71" s="20"/>
      <x:c r="C71" s="20"/>
      <x:c r="D71" s="19" t="str">
        <x:f>IFERROR(VLOOKUP(C71,Config!$A$2:$B$8,2,FALSE),"")</x:f>
      </x:c>
      <x:c r="E71" s="28"/>
      <x:c r="F71" s="20"/>
      <x:c r="G71" s="20"/>
      <x:c r="H71" s="22"/>
      <x:c r="I71" s="20"/>
      <x:c r="J71" s="20"/>
      <x:c r="K71" s="24"/>
      <x:c r="L71" s="20"/>
      <x:c r="M71" s="26"/>
      <x:c r="N71" s="20"/>
      <x:c r="O71" s="20"/>
      <x:c r="P71" s="20"/>
      <x:c r="Q71" s="20"/>
    </x:row>
    <x:row r="72">
      <x:c r="A72" s="19" t="str">
        <x:f>IF(OR(B72="",D72="",E72=""),"",UPPER(B72)&amp;"-"&amp;UPPER(D72)&amp;"-"&amp;E72)</x:f>
      </x:c>
      <x:c r="B72" s="20"/>
      <x:c r="C72" s="20"/>
      <x:c r="D72" s="19" t="str">
        <x:f>IFERROR(VLOOKUP(C72,Config!$A$2:$B$8,2,FALSE),"")</x:f>
      </x:c>
      <x:c r="E72" s="28"/>
      <x:c r="F72" s="20"/>
      <x:c r="G72" s="20"/>
      <x:c r="H72" s="22"/>
      <x:c r="I72" s="20"/>
      <x:c r="J72" s="20"/>
      <x:c r="K72" s="24"/>
      <x:c r="L72" s="20"/>
      <x:c r="M72" s="26"/>
      <x:c r="N72" s="20"/>
      <x:c r="O72" s="20"/>
      <x:c r="P72" s="20"/>
      <x:c r="Q72" s="20"/>
    </x:row>
    <x:row r="73">
      <x:c r="A73" s="19" t="str">
        <x:f>IF(OR(B73="",D73="",E73=""),"",UPPER(B73)&amp;"-"&amp;UPPER(D73)&amp;"-"&amp;E73)</x:f>
      </x:c>
      <x:c r="B73" s="20"/>
      <x:c r="C73" s="20"/>
      <x:c r="D73" s="19" t="str">
        <x:f>IFERROR(VLOOKUP(C73,Config!$A$2:$B$8,2,FALSE),"")</x:f>
      </x:c>
      <x:c r="E73" s="28"/>
      <x:c r="F73" s="20"/>
      <x:c r="G73" s="20"/>
      <x:c r="H73" s="22"/>
      <x:c r="I73" s="20"/>
      <x:c r="J73" s="20"/>
      <x:c r="K73" s="24"/>
      <x:c r="L73" s="20"/>
      <x:c r="M73" s="26"/>
      <x:c r="N73" s="20"/>
      <x:c r="O73" s="20"/>
      <x:c r="P73" s="20"/>
      <x:c r="Q73" s="20"/>
    </x:row>
    <x:row r="74">
      <x:c r="A74" s="19" t="str">
        <x:f>IF(OR(B74="",D74="",E74=""),"",UPPER(B74)&amp;"-"&amp;UPPER(D74)&amp;"-"&amp;E74)</x:f>
      </x:c>
      <x:c r="B74" s="20"/>
      <x:c r="C74" s="20"/>
      <x:c r="D74" s="19" t="str">
        <x:f>IFERROR(VLOOKUP(C74,Config!$A$2:$B$8,2,FALSE),"")</x:f>
      </x:c>
      <x:c r="E74" s="28"/>
      <x:c r="F74" s="20"/>
      <x:c r="G74" s="20"/>
      <x:c r="H74" s="22"/>
      <x:c r="I74" s="20"/>
      <x:c r="J74" s="20"/>
      <x:c r="K74" s="24"/>
      <x:c r="L74" s="20"/>
      <x:c r="M74" s="26"/>
      <x:c r="N74" s="20"/>
      <x:c r="O74" s="20"/>
      <x:c r="P74" s="20"/>
      <x:c r="Q74" s="20"/>
    </x:row>
    <x:row r="75">
      <x:c r="A75" s="19" t="str">
        <x:f>IF(OR(B75="",D75="",E75=""),"",UPPER(B75)&amp;"-"&amp;UPPER(D75)&amp;"-"&amp;E75)</x:f>
      </x:c>
      <x:c r="B75" s="20"/>
      <x:c r="C75" s="20"/>
      <x:c r="D75" s="19" t="str">
        <x:f>IFERROR(VLOOKUP(C75,Config!$A$2:$B$8,2,FALSE),"")</x:f>
      </x:c>
      <x:c r="E75" s="28"/>
      <x:c r="F75" s="20"/>
      <x:c r="G75" s="20"/>
      <x:c r="H75" s="22"/>
      <x:c r="I75" s="20"/>
      <x:c r="J75" s="20"/>
      <x:c r="K75" s="24"/>
      <x:c r="L75" s="20"/>
      <x:c r="M75" s="26"/>
      <x:c r="N75" s="20"/>
      <x:c r="O75" s="20"/>
      <x:c r="P75" s="20"/>
      <x:c r="Q75" s="20"/>
    </x:row>
    <x:row r="76">
      <x:c r="A76" s="19" t="str">
        <x:f>IF(OR(B76="",D76="",E76=""),"",UPPER(B76)&amp;"-"&amp;UPPER(D76)&amp;"-"&amp;E76)</x:f>
      </x:c>
      <x:c r="B76" s="20"/>
      <x:c r="C76" s="20"/>
      <x:c r="D76" s="19" t="str">
        <x:f>IFERROR(VLOOKUP(C76,Config!$A$2:$B$8,2,FALSE),"")</x:f>
      </x:c>
      <x:c r="E76" s="28"/>
      <x:c r="F76" s="20"/>
      <x:c r="G76" s="20"/>
      <x:c r="H76" s="22"/>
      <x:c r="I76" s="20"/>
      <x:c r="J76" s="20"/>
      <x:c r="K76" s="24"/>
      <x:c r="L76" s="20"/>
      <x:c r="M76" s="26"/>
      <x:c r="N76" s="20"/>
      <x:c r="O76" s="20"/>
      <x:c r="P76" s="20"/>
      <x:c r="Q76" s="20"/>
    </x:row>
    <x:row r="77">
      <x:c r="A77" s="19" t="str">
        <x:f>IF(OR(B77="",D77="",E77=""),"",UPPER(B77)&amp;"-"&amp;UPPER(D77)&amp;"-"&amp;E77)</x:f>
      </x:c>
      <x:c r="B77" s="20"/>
      <x:c r="C77" s="20"/>
      <x:c r="D77" s="19" t="str">
        <x:f>IFERROR(VLOOKUP(C77,Config!$A$2:$B$8,2,FALSE),"")</x:f>
      </x:c>
      <x:c r="E77" s="28"/>
      <x:c r="F77" s="20"/>
      <x:c r="G77" s="20"/>
      <x:c r="H77" s="22"/>
      <x:c r="I77" s="20"/>
      <x:c r="J77" s="20"/>
      <x:c r="K77" s="24"/>
      <x:c r="L77" s="20"/>
      <x:c r="M77" s="26"/>
      <x:c r="N77" s="20"/>
      <x:c r="O77" s="20"/>
      <x:c r="P77" s="20"/>
      <x:c r="Q77" s="20"/>
    </x:row>
    <x:row r="78">
      <x:c r="A78" s="19" t="str">
        <x:f>IF(OR(B78="",D78="",E78=""),"",UPPER(B78)&amp;"-"&amp;UPPER(D78)&amp;"-"&amp;E78)</x:f>
      </x:c>
      <x:c r="B78" s="20"/>
      <x:c r="C78" s="20"/>
      <x:c r="D78" s="19" t="str">
        <x:f>IFERROR(VLOOKUP(C78,Config!$A$2:$B$8,2,FALSE),"")</x:f>
      </x:c>
      <x:c r="E78" s="28"/>
      <x:c r="F78" s="20"/>
      <x:c r="G78" s="20"/>
      <x:c r="H78" s="22"/>
      <x:c r="I78" s="20"/>
      <x:c r="J78" s="20"/>
      <x:c r="K78" s="24"/>
      <x:c r="L78" s="20"/>
      <x:c r="M78" s="26"/>
      <x:c r="N78" s="20"/>
      <x:c r="O78" s="20"/>
      <x:c r="P78" s="20"/>
      <x:c r="Q78" s="20"/>
    </x:row>
    <x:row r="79">
      <x:c r="A79" s="19" t="str">
        <x:f>IF(OR(B79="",D79="",E79=""),"",UPPER(B79)&amp;"-"&amp;UPPER(D79)&amp;"-"&amp;E79)</x:f>
      </x:c>
      <x:c r="B79" s="20"/>
      <x:c r="C79" s="20"/>
      <x:c r="D79" s="19" t="str">
        <x:f>IFERROR(VLOOKUP(C79,Config!$A$2:$B$8,2,FALSE),"")</x:f>
      </x:c>
      <x:c r="E79" s="28"/>
      <x:c r="F79" s="20"/>
      <x:c r="G79" s="20"/>
      <x:c r="H79" s="22"/>
      <x:c r="I79" s="20"/>
      <x:c r="J79" s="20"/>
      <x:c r="K79" s="24"/>
      <x:c r="L79" s="20"/>
      <x:c r="M79" s="26"/>
      <x:c r="N79" s="20"/>
      <x:c r="O79" s="20"/>
      <x:c r="P79" s="20"/>
      <x:c r="Q79" s="20"/>
    </x:row>
    <x:row r="80">
      <x:c r="A80" s="19" t="str">
        <x:f>IF(OR(B80="",D80="",E80=""),"",UPPER(B80)&amp;"-"&amp;UPPER(D80)&amp;"-"&amp;E80)</x:f>
      </x:c>
      <x:c r="B80" s="20"/>
      <x:c r="C80" s="20"/>
      <x:c r="D80" s="19" t="str">
        <x:f>IFERROR(VLOOKUP(C80,Config!$A$2:$B$8,2,FALSE),"")</x:f>
      </x:c>
      <x:c r="E80" s="28"/>
      <x:c r="F80" s="20"/>
      <x:c r="G80" s="20"/>
      <x:c r="H80" s="22"/>
      <x:c r="I80" s="20"/>
      <x:c r="J80" s="20"/>
      <x:c r="K80" s="24"/>
      <x:c r="L80" s="20"/>
      <x:c r="M80" s="26"/>
      <x:c r="N80" s="20"/>
      <x:c r="O80" s="20"/>
      <x:c r="P80" s="20"/>
      <x:c r="Q80" s="20"/>
    </x:row>
    <x:row r="81">
      <x:c r="A81" s="19" t="str">
        <x:f>IF(OR(B81="",D81="",E81=""),"",UPPER(B81)&amp;"-"&amp;UPPER(D81)&amp;"-"&amp;E81)</x:f>
      </x:c>
      <x:c r="B81" s="20"/>
      <x:c r="C81" s="20"/>
      <x:c r="D81" s="19" t="str">
        <x:f>IFERROR(VLOOKUP(C81,Config!$A$2:$B$8,2,FALSE),"")</x:f>
      </x:c>
      <x:c r="E81" s="28"/>
      <x:c r="F81" s="20"/>
      <x:c r="G81" s="20"/>
      <x:c r="H81" s="22"/>
      <x:c r="I81" s="20"/>
      <x:c r="J81" s="20"/>
      <x:c r="K81" s="24"/>
      <x:c r="L81" s="20"/>
      <x:c r="M81" s="26"/>
      <x:c r="N81" s="20"/>
      <x:c r="O81" s="20"/>
      <x:c r="P81" s="20"/>
      <x:c r="Q81" s="20"/>
    </x:row>
    <x:row r="82">
      <x:c r="A82" s="19" t="str">
        <x:f>IF(OR(B82="",D82="",E82=""),"",UPPER(B82)&amp;"-"&amp;UPPER(D82)&amp;"-"&amp;E82)</x:f>
      </x:c>
      <x:c r="B82" s="20"/>
      <x:c r="C82" s="20"/>
      <x:c r="D82" s="19" t="str">
        <x:f>IFERROR(VLOOKUP(C82,Config!$A$2:$B$8,2,FALSE),"")</x:f>
      </x:c>
      <x:c r="E82" s="28"/>
      <x:c r="F82" s="20"/>
      <x:c r="G82" s="20"/>
      <x:c r="H82" s="22"/>
      <x:c r="I82" s="20"/>
      <x:c r="J82" s="20"/>
      <x:c r="K82" s="24"/>
      <x:c r="L82" s="20"/>
      <x:c r="M82" s="26"/>
      <x:c r="N82" s="20"/>
      <x:c r="O82" s="20"/>
      <x:c r="P82" s="20"/>
      <x:c r="Q82" s="20"/>
    </x:row>
    <x:row r="83">
      <x:c r="A83" s="19" t="str">
        <x:f>IF(OR(B83="",D83="",E83=""),"",UPPER(B83)&amp;"-"&amp;UPPER(D83)&amp;"-"&amp;E83)</x:f>
      </x:c>
      <x:c r="B83" s="20"/>
      <x:c r="C83" s="20"/>
      <x:c r="D83" s="19" t="str">
        <x:f>IFERROR(VLOOKUP(C83,Config!$A$2:$B$8,2,FALSE),"")</x:f>
      </x:c>
      <x:c r="E83" s="28"/>
      <x:c r="F83" s="20"/>
      <x:c r="G83" s="20"/>
      <x:c r="H83" s="22"/>
      <x:c r="I83" s="20"/>
      <x:c r="J83" s="20"/>
      <x:c r="K83" s="24"/>
      <x:c r="L83" s="20"/>
      <x:c r="M83" s="26"/>
      <x:c r="N83" s="20"/>
      <x:c r="O83" s="20"/>
      <x:c r="P83" s="20"/>
      <x:c r="Q83" s="20"/>
    </x:row>
    <x:row r="84">
      <x:c r="A84" s="19" t="str">
        <x:f>IF(OR(B84="",D84="",E84=""),"",UPPER(B84)&amp;"-"&amp;UPPER(D84)&amp;"-"&amp;E84)</x:f>
      </x:c>
      <x:c r="B84" s="20"/>
      <x:c r="C84" s="20"/>
      <x:c r="D84" s="19" t="str">
        <x:f>IFERROR(VLOOKUP(C84,Config!$A$2:$B$8,2,FALSE),"")</x:f>
      </x:c>
      <x:c r="E84" s="28"/>
      <x:c r="F84" s="20"/>
      <x:c r="G84" s="20"/>
      <x:c r="H84" s="22"/>
      <x:c r="I84" s="20"/>
      <x:c r="J84" s="20"/>
      <x:c r="K84" s="24"/>
      <x:c r="L84" s="20"/>
      <x:c r="M84" s="26"/>
      <x:c r="N84" s="20"/>
      <x:c r="O84" s="20"/>
      <x:c r="P84" s="20"/>
      <x:c r="Q84" s="20"/>
    </x:row>
    <x:row r="85">
      <x:c r="A85" s="19" t="str">
        <x:f>IF(OR(B85="",D85="",E85=""),"",UPPER(B85)&amp;"-"&amp;UPPER(D85)&amp;"-"&amp;E85)</x:f>
      </x:c>
      <x:c r="B85" s="20"/>
      <x:c r="C85" s="20"/>
      <x:c r="D85" s="19" t="str">
        <x:f>IFERROR(VLOOKUP(C85,Config!$A$2:$B$8,2,FALSE),"")</x:f>
      </x:c>
      <x:c r="E85" s="28"/>
      <x:c r="F85" s="20"/>
      <x:c r="G85" s="20"/>
      <x:c r="H85" s="22"/>
      <x:c r="I85" s="20"/>
      <x:c r="J85" s="20"/>
      <x:c r="K85" s="24"/>
      <x:c r="L85" s="20"/>
      <x:c r="M85" s="26"/>
      <x:c r="N85" s="20"/>
      <x:c r="O85" s="20"/>
      <x:c r="P85" s="20"/>
      <x:c r="Q85" s="20"/>
    </x:row>
    <x:row r="86">
      <x:c r="A86" s="19" t="str">
        <x:f>IF(OR(B86="",D86="",E86=""),"",UPPER(B86)&amp;"-"&amp;UPPER(D86)&amp;"-"&amp;E86)</x:f>
      </x:c>
      <x:c r="B86" s="20"/>
      <x:c r="C86" s="20"/>
      <x:c r="D86" s="19" t="str">
        <x:f>IFERROR(VLOOKUP(C86,Config!$A$2:$B$8,2,FALSE),"")</x:f>
      </x:c>
      <x:c r="E86" s="28"/>
      <x:c r="F86" s="20"/>
      <x:c r="G86" s="20"/>
      <x:c r="H86" s="22"/>
      <x:c r="I86" s="20"/>
      <x:c r="J86" s="20"/>
      <x:c r="K86" s="24"/>
      <x:c r="L86" s="20"/>
      <x:c r="M86" s="26"/>
      <x:c r="N86" s="20"/>
      <x:c r="O86" s="20"/>
      <x:c r="P86" s="20"/>
      <x:c r="Q86" s="20"/>
    </x:row>
    <x:row r="87">
      <x:c r="A87" s="19" t="str">
        <x:f>IF(OR(B87="",D87="",E87=""),"",UPPER(B87)&amp;"-"&amp;UPPER(D87)&amp;"-"&amp;E87)</x:f>
      </x:c>
      <x:c r="B87" s="20"/>
      <x:c r="C87" s="20"/>
      <x:c r="D87" s="19" t="str">
        <x:f>IFERROR(VLOOKUP(C87,Config!$A$2:$B$8,2,FALSE),"")</x:f>
      </x:c>
      <x:c r="E87" s="28"/>
      <x:c r="F87" s="20"/>
      <x:c r="G87" s="20"/>
      <x:c r="H87" s="22"/>
      <x:c r="I87" s="20"/>
      <x:c r="J87" s="20"/>
      <x:c r="K87" s="24"/>
      <x:c r="L87" s="20"/>
      <x:c r="M87" s="26"/>
      <x:c r="N87" s="20"/>
      <x:c r="O87" s="20"/>
      <x:c r="P87" s="20"/>
      <x:c r="Q87" s="20"/>
    </x:row>
    <x:row r="88">
      <x:c r="A88" s="19" t="str">
        <x:f>IF(OR(B88="",D88="",E88=""),"",UPPER(B88)&amp;"-"&amp;UPPER(D88)&amp;"-"&amp;E88)</x:f>
      </x:c>
      <x:c r="B88" s="20"/>
      <x:c r="C88" s="20"/>
      <x:c r="D88" s="19" t="str">
        <x:f>IFERROR(VLOOKUP(C88,Config!$A$2:$B$8,2,FALSE),"")</x:f>
      </x:c>
      <x:c r="E88" s="28"/>
      <x:c r="F88" s="20"/>
      <x:c r="G88" s="20"/>
      <x:c r="H88" s="22"/>
      <x:c r="I88" s="20"/>
      <x:c r="J88" s="20"/>
      <x:c r="K88" s="24"/>
      <x:c r="L88" s="20"/>
      <x:c r="M88" s="26"/>
      <x:c r="N88" s="20"/>
      <x:c r="O88" s="20"/>
      <x:c r="P88" s="20"/>
      <x:c r="Q88" s="20"/>
    </x:row>
    <x:row r="89">
      <x:c r="A89" s="19" t="str">
        <x:f>IF(OR(B89="",D89="",E89=""),"",UPPER(B89)&amp;"-"&amp;UPPER(D89)&amp;"-"&amp;E89)</x:f>
      </x:c>
      <x:c r="B89" s="20"/>
      <x:c r="C89" s="20"/>
      <x:c r="D89" s="19" t="str">
        <x:f>IFERROR(VLOOKUP(C89,Config!$A$2:$B$8,2,FALSE),"")</x:f>
      </x:c>
      <x:c r="E89" s="28"/>
      <x:c r="F89" s="20"/>
      <x:c r="G89" s="20"/>
      <x:c r="H89" s="22"/>
      <x:c r="I89" s="20"/>
      <x:c r="J89" s="20"/>
      <x:c r="K89" s="24"/>
      <x:c r="L89" s="20"/>
      <x:c r="M89" s="26"/>
      <x:c r="N89" s="20"/>
      <x:c r="O89" s="20"/>
      <x:c r="P89" s="20"/>
      <x:c r="Q89" s="20"/>
    </x:row>
    <x:row r="90">
      <x:c r="A90" s="19" t="str">
        <x:f>IF(OR(B90="",D90="",E90=""),"",UPPER(B90)&amp;"-"&amp;UPPER(D90)&amp;"-"&amp;E90)</x:f>
      </x:c>
      <x:c r="B90" s="20"/>
      <x:c r="C90" s="20"/>
      <x:c r="D90" s="19" t="str">
        <x:f>IFERROR(VLOOKUP(C90,Config!$A$2:$B$8,2,FALSE),"")</x:f>
      </x:c>
      <x:c r="E90" s="28"/>
      <x:c r="F90" s="20"/>
      <x:c r="G90" s="20"/>
      <x:c r="H90" s="22"/>
      <x:c r="I90" s="20"/>
      <x:c r="J90" s="20"/>
      <x:c r="K90" s="24"/>
      <x:c r="L90" s="20"/>
      <x:c r="M90" s="26"/>
      <x:c r="N90" s="20"/>
      <x:c r="O90" s="20"/>
      <x:c r="P90" s="20"/>
      <x:c r="Q90" s="20"/>
    </x:row>
    <x:row r="91">
      <x:c r="A91" s="19" t="str">
        <x:f>IF(OR(B91="",D91="",E91=""),"",UPPER(B91)&amp;"-"&amp;UPPER(D91)&amp;"-"&amp;E91)</x:f>
      </x:c>
      <x:c r="B91" s="20"/>
      <x:c r="C91" s="20"/>
      <x:c r="D91" s="19" t="str">
        <x:f>IFERROR(VLOOKUP(C91,Config!$A$2:$B$8,2,FALSE),"")</x:f>
      </x:c>
      <x:c r="E91" s="28"/>
      <x:c r="F91" s="20"/>
      <x:c r="G91" s="20"/>
      <x:c r="H91" s="22"/>
      <x:c r="I91" s="20"/>
      <x:c r="J91" s="20"/>
      <x:c r="K91" s="24"/>
      <x:c r="L91" s="20"/>
      <x:c r="M91" s="26"/>
      <x:c r="N91" s="20"/>
      <x:c r="O91" s="20"/>
      <x:c r="P91" s="20"/>
      <x:c r="Q91" s="20"/>
    </x:row>
    <x:row r="92">
      <x:c r="A92" s="19" t="str">
        <x:f>IF(OR(B92="",D92="",E92=""),"",UPPER(B92)&amp;"-"&amp;UPPER(D92)&amp;"-"&amp;E92)</x:f>
      </x:c>
      <x:c r="B92" s="20"/>
      <x:c r="C92" s="20"/>
      <x:c r="D92" s="19" t="str">
        <x:f>IFERROR(VLOOKUP(C92,Config!$A$2:$B$8,2,FALSE),"")</x:f>
      </x:c>
      <x:c r="E92" s="28"/>
      <x:c r="F92" s="20"/>
      <x:c r="G92" s="20"/>
      <x:c r="H92" s="22"/>
      <x:c r="I92" s="20"/>
      <x:c r="J92" s="20"/>
      <x:c r="K92" s="24"/>
      <x:c r="L92" s="20"/>
      <x:c r="M92" s="26"/>
      <x:c r="N92" s="20"/>
      <x:c r="O92" s="20"/>
      <x:c r="P92" s="20"/>
      <x:c r="Q92" s="20"/>
    </x:row>
    <x:row r="93">
      <x:c r="A93" s="19" t="str">
        <x:f>IF(OR(B93="",D93="",E93=""),"",UPPER(B93)&amp;"-"&amp;UPPER(D93)&amp;"-"&amp;E93)</x:f>
      </x:c>
      <x:c r="B93" s="20"/>
      <x:c r="C93" s="20"/>
      <x:c r="D93" s="19" t="str">
        <x:f>IFERROR(VLOOKUP(C93,Config!$A$2:$B$8,2,FALSE),"")</x:f>
      </x:c>
      <x:c r="E93" s="28"/>
      <x:c r="F93" s="20"/>
      <x:c r="G93" s="20"/>
      <x:c r="H93" s="22"/>
      <x:c r="I93" s="20"/>
      <x:c r="J93" s="20"/>
      <x:c r="K93" s="24"/>
      <x:c r="L93" s="20"/>
      <x:c r="M93" s="26"/>
      <x:c r="N93" s="20"/>
      <x:c r="O93" s="20"/>
      <x:c r="P93" s="20"/>
      <x:c r="Q93" s="20"/>
    </x:row>
    <x:row r="94">
      <x:c r="A94" s="19" t="str">
        <x:f>IF(OR(B94="",D94="",E94=""),"",UPPER(B94)&amp;"-"&amp;UPPER(D94)&amp;"-"&amp;E94)</x:f>
      </x:c>
      <x:c r="B94" s="20"/>
      <x:c r="C94" s="20"/>
      <x:c r="D94" s="19" t="str">
        <x:f>IFERROR(VLOOKUP(C94,Config!$A$2:$B$8,2,FALSE),"")</x:f>
      </x:c>
      <x:c r="E94" s="28"/>
      <x:c r="F94" s="20"/>
      <x:c r="G94" s="20"/>
      <x:c r="H94" s="22"/>
      <x:c r="I94" s="20"/>
      <x:c r="J94" s="20"/>
      <x:c r="K94" s="24"/>
      <x:c r="L94" s="20"/>
      <x:c r="M94" s="26"/>
      <x:c r="N94" s="20"/>
      <x:c r="O94" s="20"/>
      <x:c r="P94" s="20"/>
      <x:c r="Q94" s="20"/>
    </x:row>
    <x:row r="95">
      <x:c r="A95" s="19" t="str">
        <x:f>IF(OR(B95="",D95="",E95=""),"",UPPER(B95)&amp;"-"&amp;UPPER(D95)&amp;"-"&amp;E95)</x:f>
      </x:c>
      <x:c r="B95" s="20"/>
      <x:c r="C95" s="20"/>
      <x:c r="D95" s="19" t="str">
        <x:f>IFERROR(VLOOKUP(C95,Config!$A$2:$B$8,2,FALSE),"")</x:f>
      </x:c>
      <x:c r="E95" s="28"/>
      <x:c r="F95" s="20"/>
      <x:c r="G95" s="20"/>
      <x:c r="H95" s="22"/>
      <x:c r="I95" s="20"/>
      <x:c r="J95" s="20"/>
      <x:c r="K95" s="24"/>
      <x:c r="L95" s="20"/>
      <x:c r="M95" s="26"/>
      <x:c r="N95" s="20"/>
      <x:c r="O95" s="20"/>
      <x:c r="P95" s="20"/>
      <x:c r="Q95" s="20"/>
    </x:row>
    <x:row r="96">
      <x:c r="A96" s="19" t="str">
        <x:f>IF(OR(B96="",D96="",E96=""),"",UPPER(B96)&amp;"-"&amp;UPPER(D96)&amp;"-"&amp;E96)</x:f>
      </x:c>
      <x:c r="B96" s="20"/>
      <x:c r="C96" s="20"/>
      <x:c r="D96" s="19" t="str">
        <x:f>IFERROR(VLOOKUP(C96,Config!$A$2:$B$8,2,FALSE),"")</x:f>
      </x:c>
      <x:c r="E96" s="28"/>
      <x:c r="F96" s="20"/>
      <x:c r="G96" s="20"/>
      <x:c r="H96" s="22"/>
      <x:c r="I96" s="20"/>
      <x:c r="J96" s="20"/>
      <x:c r="K96" s="24"/>
      <x:c r="L96" s="20"/>
      <x:c r="M96" s="26"/>
      <x:c r="N96" s="20"/>
      <x:c r="O96" s="20"/>
      <x:c r="P96" s="20"/>
      <x:c r="Q96" s="20"/>
    </x:row>
    <x:row r="97">
      <x:c r="A97" s="19" t="str">
        <x:f>IF(OR(B97="",D97="",E97=""),"",UPPER(B97)&amp;"-"&amp;UPPER(D97)&amp;"-"&amp;E97)</x:f>
      </x:c>
      <x:c r="B97" s="20"/>
      <x:c r="C97" s="20"/>
      <x:c r="D97" s="19" t="str">
        <x:f>IFERROR(VLOOKUP(C97,Config!$A$2:$B$8,2,FALSE),"")</x:f>
      </x:c>
      <x:c r="E97" s="28"/>
      <x:c r="F97" s="20"/>
      <x:c r="G97" s="20"/>
      <x:c r="H97" s="22"/>
      <x:c r="I97" s="20"/>
      <x:c r="J97" s="20"/>
      <x:c r="K97" s="24"/>
      <x:c r="L97" s="20"/>
      <x:c r="M97" s="26"/>
      <x:c r="N97" s="20"/>
      <x:c r="O97" s="20"/>
      <x:c r="P97" s="20"/>
      <x:c r="Q97" s="20"/>
    </x:row>
    <x:row r="98">
      <x:c r="A98" s="19" t="str">
        <x:f>IF(OR(B98="",D98="",E98=""),"",UPPER(B98)&amp;"-"&amp;UPPER(D98)&amp;"-"&amp;E98)</x:f>
      </x:c>
      <x:c r="B98" s="20"/>
      <x:c r="C98" s="20"/>
      <x:c r="D98" s="19" t="str">
        <x:f>IFERROR(VLOOKUP(C98,Config!$A$2:$B$8,2,FALSE),"")</x:f>
      </x:c>
      <x:c r="E98" s="28"/>
      <x:c r="F98" s="20"/>
      <x:c r="G98" s="20"/>
      <x:c r="H98" s="22"/>
      <x:c r="I98" s="20"/>
      <x:c r="J98" s="20"/>
      <x:c r="K98" s="24"/>
      <x:c r="L98" s="20"/>
      <x:c r="M98" s="26"/>
      <x:c r="N98" s="20"/>
      <x:c r="O98" s="20"/>
      <x:c r="P98" s="20"/>
      <x:c r="Q98" s="20"/>
    </x:row>
    <x:row r="99">
      <x:c r="A99" s="19" t="str">
        <x:f>IF(OR(B99="",D99="",E99=""),"",UPPER(B99)&amp;"-"&amp;UPPER(D99)&amp;"-"&amp;E99)</x:f>
      </x:c>
      <x:c r="B99" s="20"/>
      <x:c r="C99" s="20"/>
      <x:c r="D99" s="19" t="str">
        <x:f>IFERROR(VLOOKUP(C99,Config!$A$2:$B$8,2,FALSE),"")</x:f>
      </x:c>
      <x:c r="E99" s="28"/>
      <x:c r="F99" s="20"/>
      <x:c r="G99" s="20"/>
      <x:c r="H99" s="22"/>
      <x:c r="I99" s="20"/>
      <x:c r="J99" s="20"/>
      <x:c r="K99" s="24"/>
      <x:c r="L99" s="20"/>
      <x:c r="M99" s="26"/>
      <x:c r="N99" s="20"/>
      <x:c r="O99" s="20"/>
      <x:c r="P99" s="20"/>
      <x:c r="Q99" s="20"/>
    </x:row>
    <x:row r="100">
      <x:c r="A100" s="19" t="str">
        <x:f>IF(OR(B100="",D100="",E100=""),"",UPPER(B100)&amp;"-"&amp;UPPER(D100)&amp;"-"&amp;E100)</x:f>
      </x:c>
      <x:c r="B100" s="20"/>
      <x:c r="C100" s="20"/>
      <x:c r="D100" s="19" t="str">
        <x:f>IFERROR(VLOOKUP(C100,Config!$A$2:$B$8,2,FALSE),"")</x:f>
      </x:c>
      <x:c r="E100" s="28"/>
      <x:c r="F100" s="20"/>
      <x:c r="G100" s="20"/>
      <x:c r="H100" s="22"/>
      <x:c r="I100" s="20"/>
      <x:c r="J100" s="20"/>
      <x:c r="K100" s="24"/>
      <x:c r="L100" s="20"/>
      <x:c r="M100" s="26"/>
      <x:c r="N100" s="20"/>
      <x:c r="O100" s="20"/>
      <x:c r="P100" s="20"/>
      <x:c r="Q100" s="20"/>
    </x:row>
    <x:row r="101">
      <x:c r="A101" s="19" t="str">
        <x:f>IF(OR(B101="",D101="",E101=""),"",UPPER(B101)&amp;"-"&amp;UPPER(D101)&amp;"-"&amp;E101)</x:f>
      </x:c>
      <x:c r="B101" s="20"/>
      <x:c r="C101" s="20"/>
      <x:c r="D101" s="19" t="str">
        <x:f>IFERROR(VLOOKUP(C101,Config!$A$2:$B$8,2,FALSE),"")</x:f>
      </x:c>
      <x:c r="E101" s="28"/>
      <x:c r="F101" s="20"/>
      <x:c r="G101" s="20"/>
      <x:c r="H101" s="22"/>
      <x:c r="I101" s="20"/>
      <x:c r="J101" s="20"/>
      <x:c r="K101" s="24"/>
      <x:c r="L101" s="20"/>
      <x:c r="M101" s="26"/>
      <x:c r="N101" s="20"/>
      <x:c r="O101" s="20"/>
      <x:c r="P101" s="20"/>
      <x:c r="Q101" s="20"/>
    </x:row>
    <x:row r="102">
      <x:c r="A102" s="19" t="str">
        <x:f>IF(OR(B102="",D102="",E102=""),"",UPPER(B102)&amp;"-"&amp;UPPER(D102)&amp;"-"&amp;E102)</x:f>
      </x:c>
      <x:c r="B102" s="20"/>
      <x:c r="C102" s="20"/>
      <x:c r="D102" s="19" t="str">
        <x:f>IFERROR(VLOOKUP(C102,Config!$A$2:$B$8,2,FALSE),"")</x:f>
      </x:c>
      <x:c r="E102" s="28"/>
      <x:c r="F102" s="20"/>
      <x:c r="G102" s="20"/>
      <x:c r="H102" s="22"/>
      <x:c r="I102" s="20"/>
      <x:c r="J102" s="20"/>
      <x:c r="K102" s="24"/>
      <x:c r="L102" s="20"/>
      <x:c r="M102" s="26"/>
      <x:c r="N102" s="20"/>
      <x:c r="O102" s="20"/>
      <x:c r="P102" s="20"/>
      <x:c r="Q102" s="20"/>
    </x:row>
    <x:row r="103">
      <x:c r="A103" s="19" t="str">
        <x:f>IF(OR(B103="",D103="",E103=""),"",UPPER(B103)&amp;"-"&amp;UPPER(D103)&amp;"-"&amp;E103)</x:f>
      </x:c>
      <x:c r="B103" s="20"/>
      <x:c r="C103" s="20"/>
      <x:c r="D103" s="19" t="str">
        <x:f>IFERROR(VLOOKUP(C103,Config!$A$2:$B$8,2,FALSE),"")</x:f>
      </x:c>
      <x:c r="E103" s="28"/>
      <x:c r="F103" s="20"/>
      <x:c r="G103" s="20"/>
      <x:c r="H103" s="22"/>
      <x:c r="I103" s="20"/>
      <x:c r="J103" s="20"/>
      <x:c r="K103" s="24"/>
      <x:c r="L103" s="20"/>
      <x:c r="M103" s="26"/>
      <x:c r="N103" s="20"/>
      <x:c r="O103" s="20"/>
      <x:c r="P103" s="20"/>
      <x:c r="Q103" s="20"/>
    </x:row>
    <x:row r="104">
      <x:c r="A104" s="19" t="str">
        <x:f>IF(OR(B104="",D104="",E104=""),"",UPPER(B104)&amp;"-"&amp;UPPER(D104)&amp;"-"&amp;E104)</x:f>
      </x:c>
      <x:c r="B104" s="20"/>
      <x:c r="C104" s="20"/>
      <x:c r="D104" s="19" t="str">
        <x:f>IFERROR(VLOOKUP(C104,Config!$A$2:$B$8,2,FALSE),"")</x:f>
      </x:c>
      <x:c r="E104" s="28"/>
      <x:c r="F104" s="20"/>
      <x:c r="G104" s="20"/>
      <x:c r="H104" s="22"/>
      <x:c r="I104" s="20"/>
      <x:c r="J104" s="20"/>
      <x:c r="K104" s="24"/>
      <x:c r="L104" s="20"/>
      <x:c r="M104" s="26"/>
      <x:c r="N104" s="20"/>
      <x:c r="O104" s="20"/>
      <x:c r="P104" s="20"/>
      <x:c r="Q104" s="20"/>
    </x:row>
    <x:row r="105">
      <x:c r="A105" s="19" t="str">
        <x:f>IF(OR(B105="",D105="",E105=""),"",UPPER(B105)&amp;"-"&amp;UPPER(D105)&amp;"-"&amp;E105)</x:f>
      </x:c>
      <x:c r="B105" s="20"/>
      <x:c r="C105" s="20"/>
      <x:c r="D105" s="19" t="str">
        <x:f>IFERROR(VLOOKUP(C105,Config!$A$2:$B$8,2,FALSE),"")</x:f>
      </x:c>
      <x:c r="E105" s="28"/>
      <x:c r="F105" s="20"/>
      <x:c r="G105" s="20"/>
      <x:c r="H105" s="22"/>
      <x:c r="I105" s="20"/>
      <x:c r="J105" s="20"/>
      <x:c r="K105" s="24"/>
      <x:c r="L105" s="20"/>
      <x:c r="M105" s="26"/>
      <x:c r="N105" s="20"/>
      <x:c r="O105" s="20"/>
      <x:c r="P105" s="20"/>
      <x:c r="Q105" s="20"/>
    </x:row>
  </x:sheetData>
  <x:mergeCells>
    <x:mergeCell ref="A1:Q1"/>
    <x:mergeCell ref="A2:Q2"/>
  </x:mergeCells>
  <x:dataValidations count="7">
    <x:dataValidation type="list" sqref="B5:B105">
      <x:formula1>Config!$G$2:$G$5</x:formula1>
    </x:dataValidation>
    <x:dataValidation type="list" sqref="C5:C105">
      <x:formula1>Config!$A$2:$A$8</x:formula1>
    </x:dataValidation>
    <x:dataValidation type="list" sqref="G5:G105">
      <x:formula1>Config!$I$2:$I$6</x:formula1>
    </x:dataValidation>
    <x:dataValidation type="list" sqref="I5:I105">
      <x:formula1>Config!$G$2:$G$5</x:formula1>
    </x:dataValidation>
    <x:dataValidation type="list" sqref="L5:L105">
      <x:formula1>Config!$K$2:$K$5</x:formula1>
    </x:dataValidation>
    <x:dataValidation type="list" sqref="N5:N105">
      <x:formula1>Config!$M$2:$M$6</x:formula1>
    </x:dataValidation>
    <x:dataValidation type="whole" operator="between" sqref="M5:M105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c8772ddacdd4d4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6" hidden="0" customWidth="1"/>
    <x:col min="11" max="11" width="16" hidden="0" customWidth="1"/>
    <x:col min="13" max="13" width="16" hidden="0" customWidth="1"/>
  </x:cols>
  <x:sheetData>
    <x:row r="1">
      <x:c r="A1" s="7" t="str">
        <x:v>Brand</x:v>
      </x:c>
      <x:c r="B1" s="7" t="str">
        <x:v>Short form</x:v>
      </x:c>
      <x:c r="C1" s="8"/>
      <x:c r="D1" s="7" t="str">
        <x:v>Bandar</x:v>
      </x:c>
      <x:c r="E1" s="7" t="str">
        <x:v>Bahagian</x:v>
      </x:c>
      <x:c r="F1" s="7" t="str">
        <x:v>Kod</x:v>
      </x:c>
      <x:c r="G1" s="7" t="str">
        <x:v>Kedai</x:v>
      </x:c>
      <x:c r="H1" s="8"/>
      <x:c r="I1" s="7" t="str">
        <x:v>Kategori</x:v>
      </x:c>
      <x:c r="J1" s="8"/>
      <x:c r="K1" s="7" t="str">
        <x:v>Kondisi</x:v>
      </x:c>
      <x:c r="L1" s="8"/>
      <x:c r="M1" s="7" t="str">
        <x:v>Status</x:v>
      </x:c>
    </x:row>
    <x:row r="2">
      <x:c r="A2" s="8" t="str">
        <x:v>Shimano</x:v>
      </x:c>
      <x:c r="B2" s="8" t="str">
        <x:v>SHI</x:v>
      </x:c>
      <x:c r="C2" s="8"/>
      <x:c r="D2" s="8" t="str">
        <x:v>Tokyo</x:v>
      </x:c>
      <x:c r="E2" s="8" t="str">
        <x:v>Tokyo 03</x:v>
      </x:c>
      <x:c r="F2" s="8" t="str">
        <x:v>TKY03</x:v>
      </x:c>
      <x:c r="G2" s="8" t="str">
        <x:v>Kedai Shibuya</x:v>
      </x:c>
      <x:c r="H2" s="8"/>
      <x:c r="I2" s="8" t="str">
        <x:v>Reel</x:v>
      </x:c>
      <x:c r="J2" s="8"/>
      <x:c r="K2" s="8" t="str">
        <x:v>Baru</x:v>
      </x:c>
      <x:c r="L2" s="8"/>
      <x:c r="M2" s="8" t="str">
        <x:v>DRAFT</x:v>
      </x:c>
    </x:row>
    <x:row r="3">
      <x:c r="A3" s="8" t="str">
        <x:v>Daiwa</x:v>
      </x:c>
      <x:c r="B3" s="8" t="str">
        <x:v>DAI</x:v>
      </x:c>
      <x:c r="C3" s="8"/>
      <x:c r="D3" s="8" t="str">
        <x:v>Tokyo</x:v>
      </x:c>
      <x:c r="E3" s="8" t="str">
        <x:v>Tokyo 03</x:v>
      </x:c>
      <x:c r="F3" s="8" t="str">
        <x:v>TKY03</x:v>
      </x:c>
      <x:c r="G3" s="8" t="str">
        <x:v>Kedai Ueno</x:v>
      </x:c>
      <x:c r="H3" s="8"/>
      <x:c r="I3" s="8" t="str">
        <x:v>Rod</x:v>
      </x:c>
      <x:c r="J3" s="8"/>
      <x:c r="K3" s="8" t="str">
        <x:v>Seperti baru</x:v>
      </x:c>
      <x:c r="L3" s="8"/>
      <x:c r="M3" s="8" t="str">
        <x:v>AVAILABLE</x:v>
      </x:c>
    </x:row>
    <x:row r="4">
      <x:c r="A4" s="8" t="str">
        <x:v>Megabass</x:v>
      </x:c>
      <x:c r="B4" s="8" t="str">
        <x:v>MEG</x:v>
      </x:c>
      <x:c r="C4" s="8"/>
      <x:c r="D4" s="8" t="str">
        <x:v>Osaka</x:v>
      </x:c>
      <x:c r="E4" s="8" t="str">
        <x:v>Osaka 02</x:v>
      </x:c>
      <x:c r="F4" s="8" t="str">
        <x:v>OSK02</x:v>
      </x:c>
      <x:c r="G4" s="8" t="str">
        <x:v>Kedai Namba</x:v>
      </x:c>
      <x:c r="H4" s="8"/>
      <x:c r="I4" s="8" t="str">
        <x:v>Lure</x:v>
      </x:c>
      <x:c r="J4" s="8"/>
      <x:c r="K4" s="8" t="str">
        <x:v>Terpakai</x:v>
      </x:c>
      <x:c r="L4" s="8"/>
      <x:c r="M4" s="8" t="str">
        <x:v>RESERVED</x:v>
      </x:c>
    </x:row>
    <x:row r="5">
      <x:c r="A5" s="8" t="str">
        <x:v>Abu Garcia</x:v>
      </x:c>
      <x:c r="B5" s="8" t="str">
        <x:v>ABU</x:v>
      </x:c>
      <x:c r="C5" s="8"/>
      <x:c r="D5" s="8" t="str">
        <x:v>Osaka</x:v>
      </x:c>
      <x:c r="E5" s="8" t="str">
        <x:v>Osaka 02</x:v>
      </x:c>
      <x:c r="F5" s="8" t="str">
        <x:v>OSK02</x:v>
      </x:c>
      <x:c r="G5" s="8" t="str">
        <x:v>Kedai Umeda</x:v>
      </x:c>
      <x:c r="H5" s="8"/>
      <x:c r="I5" s="8" t="str">
        <x:v>Accessories</x:v>
      </x:c>
      <x:c r="J5" s="8"/>
      <x:c r="K5" s="8" t="str">
        <x:v>Vintage</x:v>
      </x:c>
      <x:c r="L5" s="8"/>
      <x:c r="M5" s="8" t="str">
        <x:v>SOLD</x:v>
      </x:c>
    </x:row>
    <x:row r="6">
      <x:c r="A6" s="8" t="str">
        <x:v>Jackall</x:v>
      </x:c>
      <x:c r="B6" s="8" t="str">
        <x:v>JAC</x:v>
      </x:c>
      <x:c r="C6" s="8"/>
      <x:c r="D6" s="8"/>
      <x:c r="E6" s="8"/>
      <x:c r="F6" s="8"/>
      <x:c r="G6" s="8"/>
      <x:c r="H6" s="8"/>
      <x:c r="I6" s="8" t="str">
        <x:v>Spare part</x:v>
      </x:c>
      <x:c r="J6" s="8"/>
      <x:c r="K6" s="8"/>
      <x:c r="L6" s="8"/>
      <x:c r="M6" s="8" t="str">
        <x:v>EXPIRED</x:v>
      </x:c>
    </x:row>
    <x:row r="7">
      <x:c r="A7" s="8" t="str">
        <x:v>Evergreen</x:v>
      </x:c>
      <x:c r="B7" s="8" t="str">
        <x:v>EVE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</x:row>
    <x:row r="8">
      <x:c r="A8" s="8" t="str">
        <x:v>Others</x:v>
      </x:c>
      <x:c r="B8" s="8" t="str">
        <x:v>OTH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</x:row>
  </x:sheetData>
  <x:pageMargins left="0.7" right="0.7" top="0.75" bottom="0.75" header="0.3" footer="0.3"/>
</x:worksheet>
</file>