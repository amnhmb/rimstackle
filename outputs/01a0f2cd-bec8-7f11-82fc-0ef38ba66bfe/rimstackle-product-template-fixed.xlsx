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601"/>
  <workbookPr/>
  <mc:AlternateContent xmlns:mc="http://schemas.openxmlformats.org/markup-compatibility/2006">
    <mc:Choice Requires="x15">
      <x15ac:absPath xmlns:x15ac="http://schemas.microsoft.com/office/spreadsheetml/2010/11/ac" url="C:\Users\User\Documents\GitHub\amnhmb\rimstackle\outputs\01a0f2cd-bec8-7f11-82fc-0ef38ba66bfe\"/>
    </mc:Choice>
  </mc:AlternateContent>
  <xr:revisionPtr revIDLastSave="0" documentId="13_ncr:1_{6517A0D2-3C0A-43AF-AC68-1F4ACBE0C1A4}" xr6:coauthVersionLast="43" xr6:coauthVersionMax="43" xr10:uidLastSave="{00000000-0000-0000-0000-000000000000}"/>
  <bookViews>
    <workbookView xWindow="-120" yWindow="-120" windowWidth="29040" windowHeight="17520" xr2:uid="{00000000-000D-0000-FFFF-FFFF00000000}"/>
  </bookViews>
  <sheets>
    <sheet name="Mobile Form" sheetId="1" r:id="rId1"/>
    <sheet name="Bulk Import" sheetId="2" r:id="rId2"/>
    <sheet name="Config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alcChain.xml><?xml version="1.0" encoding="utf-8"?>
<calcChain xmlns="http://schemas.openxmlformats.org/spreadsheetml/2006/main">
  <c r="D105" i="2" l="1"/>
  <c r="A105" i="2" s="1"/>
  <c r="D104" i="2"/>
  <c r="A104" i="2"/>
  <c r="D103" i="2"/>
  <c r="A103" i="2" s="1"/>
  <c r="D102" i="2"/>
  <c r="A102" i="2" s="1"/>
  <c r="D101" i="2"/>
  <c r="A101" i="2" s="1"/>
  <c r="D100" i="2"/>
  <c r="A100" i="2"/>
  <c r="D99" i="2"/>
  <c r="A99" i="2" s="1"/>
  <c r="D98" i="2"/>
  <c r="A98" i="2"/>
  <c r="D97" i="2"/>
  <c r="A97" i="2" s="1"/>
  <c r="D96" i="2"/>
  <c r="A96" i="2" s="1"/>
  <c r="D95" i="2"/>
  <c r="A95" i="2" s="1"/>
  <c r="D94" i="2"/>
  <c r="A94" i="2"/>
  <c r="D93" i="2"/>
  <c r="A93" i="2" s="1"/>
  <c r="D92" i="2"/>
  <c r="A92" i="2"/>
  <c r="D91" i="2"/>
  <c r="A91" i="2" s="1"/>
  <c r="D90" i="2"/>
  <c r="A90" i="2" s="1"/>
  <c r="D89" i="2"/>
  <c r="A89" i="2" s="1"/>
  <c r="D88" i="2"/>
  <c r="A88" i="2"/>
  <c r="D87" i="2"/>
  <c r="A87" i="2" s="1"/>
  <c r="D86" i="2"/>
  <c r="A86" i="2"/>
  <c r="D85" i="2"/>
  <c r="A85" i="2" s="1"/>
  <c r="D84" i="2"/>
  <c r="A84" i="2" s="1"/>
  <c r="D83" i="2"/>
  <c r="A83" i="2" s="1"/>
  <c r="D82" i="2"/>
  <c r="A82" i="2"/>
  <c r="D81" i="2"/>
  <c r="A81" i="2" s="1"/>
  <c r="D80" i="2"/>
  <c r="A80" i="2"/>
  <c r="D79" i="2"/>
  <c r="A79" i="2" s="1"/>
  <c r="D78" i="2"/>
  <c r="A78" i="2" s="1"/>
  <c r="D77" i="2"/>
  <c r="A77" i="2" s="1"/>
  <c r="D76" i="2"/>
  <c r="A76" i="2"/>
  <c r="D75" i="2"/>
  <c r="A75" i="2" s="1"/>
  <c r="D74" i="2"/>
  <c r="A74" i="2"/>
  <c r="D73" i="2"/>
  <c r="A73" i="2" s="1"/>
  <c r="D72" i="2"/>
  <c r="A72" i="2" s="1"/>
  <c r="D71" i="2"/>
  <c r="A71" i="2" s="1"/>
  <c r="D70" i="2"/>
  <c r="A70" i="2"/>
  <c r="D69" i="2"/>
  <c r="A69" i="2" s="1"/>
  <c r="D68" i="2"/>
  <c r="A68" i="2"/>
  <c r="D67" i="2"/>
  <c r="A67" i="2" s="1"/>
  <c r="D66" i="2"/>
  <c r="A66" i="2" s="1"/>
  <c r="D65" i="2"/>
  <c r="A65" i="2" s="1"/>
  <c r="D64" i="2"/>
  <c r="A64" i="2"/>
  <c r="D63" i="2"/>
  <c r="A63" i="2" s="1"/>
  <c r="D62" i="2"/>
  <c r="A62" i="2"/>
  <c r="D61" i="2"/>
  <c r="A61" i="2" s="1"/>
  <c r="D60" i="2"/>
  <c r="A60" i="2" s="1"/>
  <c r="D59" i="2"/>
  <c r="A59" i="2" s="1"/>
  <c r="D58" i="2"/>
  <c r="A58" i="2"/>
  <c r="D57" i="2"/>
  <c r="A57" i="2" s="1"/>
  <c r="D56" i="2"/>
  <c r="A56" i="2"/>
  <c r="D55" i="2"/>
  <c r="A55" i="2" s="1"/>
  <c r="D54" i="2"/>
  <c r="A54" i="2" s="1"/>
  <c r="D53" i="2"/>
  <c r="A53" i="2" s="1"/>
  <c r="D52" i="2"/>
  <c r="A52" i="2"/>
  <c r="D51" i="2"/>
  <c r="A51" i="2" s="1"/>
  <c r="D50" i="2"/>
  <c r="A50" i="2"/>
  <c r="D49" i="2"/>
  <c r="A49" i="2" s="1"/>
  <c r="D48" i="2"/>
  <c r="A48" i="2" s="1"/>
  <c r="D47" i="2"/>
  <c r="A47" i="2" s="1"/>
  <c r="D46" i="2"/>
  <c r="A46" i="2"/>
  <c r="D45" i="2"/>
  <c r="A45" i="2" s="1"/>
  <c r="D44" i="2"/>
  <c r="A44" i="2"/>
  <c r="D43" i="2"/>
  <c r="A43" i="2" s="1"/>
  <c r="D42" i="2"/>
  <c r="A42" i="2" s="1"/>
  <c r="D41" i="2"/>
  <c r="A41" i="2" s="1"/>
  <c r="D40" i="2"/>
  <c r="A40" i="2"/>
  <c r="D39" i="2"/>
  <c r="A39" i="2" s="1"/>
  <c r="D38" i="2"/>
  <c r="A38" i="2"/>
  <c r="D37" i="2"/>
  <c r="A37" i="2" s="1"/>
  <c r="D36" i="2"/>
  <c r="A36" i="2" s="1"/>
  <c r="D35" i="2"/>
  <c r="A35" i="2" s="1"/>
  <c r="D34" i="2"/>
  <c r="A34" i="2"/>
  <c r="D33" i="2"/>
  <c r="A33" i="2" s="1"/>
  <c r="D32" i="2"/>
  <c r="A32" i="2"/>
  <c r="D31" i="2"/>
  <c r="A31" i="2" s="1"/>
  <c r="D30" i="2"/>
  <c r="A30" i="2" s="1"/>
  <c r="D29" i="2"/>
  <c r="A29" i="2" s="1"/>
  <c r="D28" i="2"/>
  <c r="A28" i="2"/>
  <c r="D27" i="2"/>
  <c r="A27" i="2" s="1"/>
  <c r="D26" i="2"/>
  <c r="A26" i="2"/>
  <c r="D25" i="2"/>
  <c r="A25" i="2" s="1"/>
  <c r="D24" i="2"/>
  <c r="A24" i="2" s="1"/>
  <c r="D23" i="2"/>
  <c r="A23" i="2" s="1"/>
  <c r="D22" i="2"/>
  <c r="A22" i="2"/>
  <c r="D21" i="2"/>
  <c r="A21" i="2" s="1"/>
  <c r="D20" i="2"/>
  <c r="A20" i="2"/>
  <c r="D19" i="2"/>
  <c r="A19" i="2" s="1"/>
  <c r="D18" i="2"/>
  <c r="A18" i="2" s="1"/>
  <c r="D17" i="2"/>
  <c r="A17" i="2" s="1"/>
  <c r="D16" i="2"/>
  <c r="A16" i="2"/>
  <c r="D15" i="2"/>
  <c r="A15" i="2" s="1"/>
  <c r="D14" i="2"/>
  <c r="A14" i="2"/>
  <c r="D13" i="2"/>
  <c r="A13" i="2" s="1"/>
  <c r="D12" i="2"/>
  <c r="A12" i="2" s="1"/>
  <c r="D11" i="2"/>
  <c r="A11" i="2" s="1"/>
  <c r="D10" i="2"/>
  <c r="A10" i="2"/>
  <c r="D9" i="2"/>
  <c r="A9" i="2" s="1"/>
  <c r="D8" i="2"/>
  <c r="A8" i="2"/>
  <c r="D7" i="2"/>
  <c r="A7" i="2" s="1"/>
  <c r="D6" i="2"/>
  <c r="A6" i="2" s="1"/>
  <c r="D5" i="2"/>
  <c r="A5" i="2" s="1"/>
  <c r="B9" i="1"/>
  <c r="B5" i="1"/>
</calcChain>
</file>

<file path=xl/sharedStrings.xml><?xml version="1.0" encoding="utf-8"?>
<sst xmlns="http://schemas.openxmlformats.org/spreadsheetml/2006/main" count="134" uniqueCount="106">
  <si>
    <t>RIMSTACKLE · BORANG PRODUK</t>
  </si>
  <si>
    <t>Isi ruang kuning. Product ID akan dijana automatik selepas Tempat, Brand dan Nombor ID diisi.</t>
  </si>
  <si>
    <t>Medan</t>
  </si>
  <si>
    <t>Isi</t>
  </si>
  <si>
    <t>Nota</t>
  </si>
  <si>
    <t>Product ID</t>
  </si>
  <si>
    <t>Auto daripada tempat + brand + nombor</t>
  </si>
  <si>
    <t>Kod tempat / bahagian</t>
  </si>
  <si>
    <t>TKY03</t>
  </si>
  <si>
    <t>Contoh: TKY03</t>
  </si>
  <si>
    <t>Brand</t>
  </si>
  <si>
    <t>Shimano</t>
  </si>
  <si>
    <t>Pilih daripada senarai</t>
  </si>
  <si>
    <t>Nombor ID</t>
  </si>
  <si>
    <t>0125</t>
  </si>
  <si>
    <t>Isi nombor manual</t>
  </si>
  <si>
    <t>Short form brand</t>
  </si>
  <si>
    <t>Auto daripada Config</t>
  </si>
  <si>
    <t>Model</t>
  </si>
  <si>
    <t>Antares DC MD</t>
  </si>
  <si>
    <t>Nama model</t>
  </si>
  <si>
    <t>Kategori</t>
  </si>
  <si>
    <t>Reel</t>
  </si>
  <si>
    <t>Pilih kategori</t>
  </si>
  <si>
    <t>Harga jualan (RM)</t>
  </si>
  <si>
    <t>Nombor sahaja</t>
  </si>
  <si>
    <t>Kedai</t>
  </si>
  <si>
    <t>Kedai Shibuya</t>
  </si>
  <si>
    <t>Pilih kedai</t>
  </si>
  <si>
    <t>Subtajuk</t>
  </si>
  <si>
    <t>Baitcasting · Pemegang kanan</t>
  </si>
  <si>
    <t>Paparan ringkas pada card</t>
  </si>
  <si>
    <t>Harga kedai Jepun (¥)</t>
  </si>
  <si>
    <t>Pilihan</t>
  </si>
  <si>
    <t>Kondisi</t>
  </si>
  <si>
    <t>Terpakai</t>
  </si>
  <si>
    <t>Pilih kondisi</t>
  </si>
  <si>
    <t>Skor kondisi</t>
  </si>
  <si>
    <t>1 hingga 10</t>
  </si>
  <si>
    <t>Status</t>
  </si>
  <si>
    <t>AVAILABLE</t>
  </si>
  <si>
    <t>Pilih status</t>
  </si>
  <si>
    <t>Weekly Drop</t>
  </si>
  <si>
    <t>drop-0007</t>
  </si>
  <si>
    <t>ID drop</t>
  </si>
  <si>
    <t>Butiran produk</t>
  </si>
  <si>
    <t>Contoh produk untuk rujukan.</t>
  </si>
  <si>
    <t>Penerangan panjang</t>
  </si>
  <si>
    <t>Gambar</t>
  </si>
  <si>
    <t>URL gambar, pisahkan dengan |</t>
  </si>
  <si>
    <t>Untuk import banyak produk, guna sheet Bulk Import. Selepas siap, simpan sheet itu sebagai CSV UTF-8.</t>
  </si>
  <si>
    <t>RIMSTACKLE · TEMPLATE IMPORT PRODUK</t>
  </si>
  <si>
    <t>Isi ruang kuning. Product ID dijana automatik daripada Kod tempat + Short form brand + Nombor ID. Jangan ubah nama header.</t>
  </si>
  <si>
    <t>product_id</t>
  </si>
  <si>
    <t>location_code</t>
  </si>
  <si>
    <t>brand</t>
  </si>
  <si>
    <t>brand_code</t>
  </si>
  <si>
    <t>id_number</t>
  </si>
  <si>
    <t>model</t>
  </si>
  <si>
    <t>category</t>
  </si>
  <si>
    <t>price</t>
  </si>
  <si>
    <t>store</t>
  </si>
  <si>
    <t>subtitle</t>
  </si>
  <si>
    <t>japan_price</t>
  </si>
  <si>
    <t>condition</t>
  </si>
  <si>
    <t>grade</t>
  </si>
  <si>
    <t>status</t>
  </si>
  <si>
    <t>drop_id</t>
  </si>
  <si>
    <t>description</t>
  </si>
  <si>
    <t>images</t>
  </si>
  <si>
    <t>Short form</t>
  </si>
  <si>
    <t>Bandar</t>
  </si>
  <si>
    <t>Bahagian</t>
  </si>
  <si>
    <t>Kod</t>
  </si>
  <si>
    <t>SHI</t>
  </si>
  <si>
    <t>Tokyo</t>
  </si>
  <si>
    <t>Tokyo 03</t>
  </si>
  <si>
    <t>Baru</t>
  </si>
  <si>
    <t>DRAFT</t>
  </si>
  <si>
    <t>Daiwa</t>
  </si>
  <si>
    <t>DAI</t>
  </si>
  <si>
    <t>Kedai Ueno</t>
  </si>
  <si>
    <t>Rod</t>
  </si>
  <si>
    <t>Seperti baru</t>
  </si>
  <si>
    <t>Megabass</t>
  </si>
  <si>
    <t>MEG</t>
  </si>
  <si>
    <t>Osaka</t>
  </si>
  <si>
    <t>Osaka 02</t>
  </si>
  <si>
    <t>OSK02</t>
  </si>
  <si>
    <t>Kedai Namba</t>
  </si>
  <si>
    <t>Lure</t>
  </si>
  <si>
    <t>RESERVED</t>
  </si>
  <si>
    <t>Abu Garcia</t>
  </si>
  <si>
    <t>ABU</t>
  </si>
  <si>
    <t>Kedai Umeda</t>
  </si>
  <si>
    <t>Accessories</t>
  </si>
  <si>
    <t>Vintage</t>
  </si>
  <si>
    <t>SOLD</t>
  </si>
  <si>
    <t>Jackall</t>
  </si>
  <si>
    <t>JAC</t>
  </si>
  <si>
    <t>Spare part</t>
  </si>
  <si>
    <t>EXPIRED</t>
  </si>
  <si>
    <t>Evergreen</t>
  </si>
  <si>
    <t>EVE</t>
  </si>
  <si>
    <t>Others</t>
  </si>
  <si>
    <t>OTH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</si>
</sst>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RM&quot;#,##0.00"/>
    <numFmt numFmtId="165" formatCode="&quot;¥&quot;#,##0"/>
  </numFmts>
  <fonts count="10">
    <font>
      <sz val="11"/>
      <name val="Carlito"/>
    </font>
    <font>
      <b/>
      <sz val="10"/>
      <color rgb="FFFFFFFF"/>
      <name val="Arial"/>
    </font>
    <font>
      <b/>
      <sz val="10"/>
      <color rgb="FF242A26"/>
      <name val="Arial"/>
    </font>
    <font>
      <sz val="10"/>
      <color rgb="FF242A26"/>
      <name val="Arial"/>
    </font>
    <font>
      <b/>
      <sz val="16"/>
      <color rgb="FF17352B"/>
      <name val="Arial"/>
    </font>
    <font>
      <i/>
      <sz val="10"/>
      <color rgb="FF5C655F"/>
      <name val="Arial"/>
    </font>
    <font>
      <b/>
      <sz val="10"/>
      <color rgb="FF17352B"/>
      <name val="Arial"/>
    </font>
    <font>
      <i/>
      <sz val="9"/>
      <color rgb="FF5C655F"/>
      <name val="Arial"/>
    </font>
    <font>
      <b/>
      <sz val="11"/>
      <color rgb="FF17352B"/>
      <name val="Arial"/>
    </font>
    <font>
      <i/>
      <sz val="10"/>
      <color rgb="FF17352B"/>
      <name val="Arial"/>
    </font>
  </fonts>
  <fills count="5">
    <fill>
      <patternFill patternType="none"/>
    </fill>
    <fill>
      <patternFill patternType="gray125"/>
    </fill>
    <fill>
      <patternFill patternType="solid">
        <fgColor rgb="FF17352B"/>
      </patternFill>
    </fill>
    <fill>
      <patternFill patternType="solid">
        <fgColor rgb="FFFFF4CC"/>
      </patternFill>
    </fill>
    <fill>
      <patternFill patternType="solid">
        <fgColor rgb="FFE4F0E7"/>
      </patternFill>
    </fill>
  </fills>
  <borders count="4">
    <border>
      <left/>
      <right/>
      <top/>
      <bottom/>
      <diagonal/>
    </border>
    <border>
      <left style="thin">
        <color rgb="FFD9DED8"/>
      </left>
      <right style="thin">
        <color rgb="FFD9DED8"/>
      </right>
      <top style="thin">
        <color rgb="FFD9DED8"/>
      </top>
      <bottom style="thin">
        <color rgb="FFD9DED8"/>
      </bottom>
      <diagonal/>
    </border>
    <border>
      <left/>
      <right/>
      <top/>
      <bottom style="thin">
        <color rgb="FFE1E6E0"/>
      </bottom>
      <diagonal/>
    </border>
    <border>
      <left/>
      <right/>
      <top style="thin">
        <color rgb="FFE1E6E0"/>
      </top>
      <bottom style="thin">
        <color rgb="FFE1E6E0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2" borderId="0" xfId="0" applyNumberFormat="1" applyFont="1" applyFill="1" applyBorder="1"/>
    <xf numFmtId="0" fontId="2" fillId="2" borderId="1" xfId="0" applyNumberFormat="1" applyFont="1" applyFill="1" applyBorder="1" applyAlignment="1">
      <alignment vertical="center"/>
    </xf>
    <xf numFmtId="0" fontId="3" fillId="0" borderId="1" xfId="0" applyNumberFormat="1" applyFont="1" applyFill="1" applyBorder="1" applyAlignment="1">
      <alignment vertical="center"/>
    </xf>
    <xf numFmtId="0" fontId="6" fillId="0" borderId="2" xfId="0" applyNumberFormat="1" applyFont="1" applyFill="1" applyBorder="1"/>
    <xf numFmtId="0" fontId="7" fillId="0" borderId="2" xfId="0" applyNumberFormat="1" applyFont="1" applyFill="1" applyBorder="1"/>
    <xf numFmtId="0" fontId="6" fillId="0" borderId="3" xfId="0" applyNumberFormat="1" applyFont="1" applyFill="1" applyBorder="1"/>
    <xf numFmtId="0" fontId="3" fillId="3" borderId="3" xfId="0" applyNumberFormat="1" applyFont="1" applyFill="1" applyBorder="1"/>
    <xf numFmtId="0" fontId="7" fillId="0" borderId="3" xfId="0" applyNumberFormat="1" applyFont="1" applyFill="1" applyBorder="1"/>
    <xf numFmtId="0" fontId="8" fillId="4" borderId="2" xfId="0" applyNumberFormat="1" applyFont="1" applyFill="1" applyBorder="1"/>
    <xf numFmtId="164" fontId="3" fillId="3" borderId="3" xfId="0" applyNumberFormat="1" applyFont="1" applyFill="1" applyBorder="1"/>
    <xf numFmtId="165" fontId="3" fillId="3" borderId="3" xfId="0" applyNumberFormat="1" applyFont="1" applyFill="1" applyBorder="1"/>
    <xf numFmtId="1" fontId="3" fillId="3" borderId="3" xfId="0" applyNumberFormat="1" applyFont="1" applyFill="1" applyBorder="1"/>
    <xf numFmtId="49" fontId="3" fillId="3" borderId="3" xfId="0" applyNumberFormat="1" applyFont="1" applyFill="1" applyBorder="1"/>
    <xf numFmtId="0" fontId="1" fillId="2" borderId="0" xfId="0" applyNumberFormat="1" applyFont="1" applyFill="1" applyBorder="1" applyAlignment="1">
      <alignment wrapText="1"/>
    </xf>
    <xf numFmtId="0" fontId="3" fillId="3" borderId="2" xfId="0" applyNumberFormat="1" applyFont="1" applyFill="1" applyBorder="1" applyAlignment="1">
      <alignment vertical="center" wrapText="1"/>
    </xf>
    <xf numFmtId="0" fontId="3" fillId="0" borderId="3" xfId="0" applyNumberFormat="1" applyFont="1" applyFill="1" applyBorder="1" applyAlignment="1">
      <alignment vertical="center"/>
    </xf>
    <xf numFmtId="0" fontId="3" fillId="3" borderId="3" xfId="0" applyNumberFormat="1" applyFont="1" applyFill="1" applyBorder="1" applyAlignment="1">
      <alignment vertical="center"/>
    </xf>
    <xf numFmtId="164" fontId="3" fillId="3" borderId="2" xfId="0" applyNumberFormat="1" applyFont="1" applyFill="1" applyBorder="1" applyAlignment="1">
      <alignment vertical="center" wrapText="1"/>
    </xf>
    <xf numFmtId="164" fontId="3" fillId="3" borderId="3" xfId="0" applyNumberFormat="1" applyFont="1" applyFill="1" applyBorder="1" applyAlignment="1">
      <alignment vertical="center"/>
    </xf>
    <xf numFmtId="165" fontId="3" fillId="3" borderId="2" xfId="0" applyNumberFormat="1" applyFont="1" applyFill="1" applyBorder="1" applyAlignment="1">
      <alignment vertical="center" wrapText="1"/>
    </xf>
    <xf numFmtId="165" fontId="3" fillId="3" borderId="3" xfId="0" applyNumberFormat="1" applyFont="1" applyFill="1" applyBorder="1" applyAlignment="1">
      <alignment vertical="center"/>
    </xf>
    <xf numFmtId="1" fontId="3" fillId="3" borderId="2" xfId="0" applyNumberFormat="1" applyFont="1" applyFill="1" applyBorder="1" applyAlignment="1">
      <alignment vertical="center" wrapText="1"/>
    </xf>
    <xf numFmtId="1" fontId="3" fillId="3" borderId="3" xfId="0" applyNumberFormat="1" applyFont="1" applyFill="1" applyBorder="1" applyAlignment="1">
      <alignment vertical="center"/>
    </xf>
    <xf numFmtId="49" fontId="3" fillId="3" borderId="2" xfId="0" applyNumberFormat="1" applyFont="1" applyFill="1" applyBorder="1" applyAlignment="1">
      <alignment vertical="center" wrapText="1"/>
    </xf>
    <xf numFmtId="49" fontId="3" fillId="3" borderId="3" xfId="0" applyNumberFormat="1" applyFont="1" applyFill="1" applyBorder="1" applyAlignment="1">
      <alignment vertical="center"/>
    </xf>
    <xf numFmtId="0" fontId="4" fillId="0" borderId="0" xfId="0" applyNumberFormat="1" applyFont="1" applyFill="1" applyBorder="1"/>
    <xf numFmtId="0" fontId="5" fillId="0" borderId="0" xfId="0" applyNumberFormat="1" applyFont="1" applyFill="1" applyBorder="1" applyAlignment="1">
      <alignment wrapText="1"/>
    </xf>
    <xf numFmtId="0" fontId="9" fillId="4" borderId="0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3"/>
  <sheetViews>
    <sheetView showGridLines="0" tabSelected="1" workbookViewId="0">
      <selection sqref="A1:D1"/>
    </sheetView>
  </sheetViews>
  <sheetFormatPr defaultRowHeight="14.25"/>
  <cols>
    <col min="1" max="1" width="25" customWidth="1"/>
    <col min="2" max="3" width="34" customWidth="1"/>
    <col min="4" max="4" width="4" customWidth="1"/>
  </cols>
  <sheetData>
    <row r="1" spans="1:4" ht="27.95" customHeight="1">
      <c r="A1" s="26" t="s">
        <v>0</v>
      </c>
      <c r="B1" s="26"/>
      <c r="C1" s="26"/>
      <c r="D1" s="26"/>
    </row>
    <row r="2" spans="1:4" ht="30" customHeight="1">
      <c r="A2" s="27" t="s">
        <v>1</v>
      </c>
      <c r="B2" s="27"/>
      <c r="C2" s="27"/>
      <c r="D2" s="27"/>
    </row>
    <row r="4" spans="1:4">
      <c r="A4" s="1" t="s">
        <v>2</v>
      </c>
      <c r="B4" s="1" t="s">
        <v>3</v>
      </c>
      <c r="C4" s="1" t="s">
        <v>4</v>
      </c>
    </row>
    <row r="5" spans="1:4" ht="15">
      <c r="A5" s="4" t="s">
        <v>5</v>
      </c>
      <c r="B5" s="9" t="str">
        <f>IF(OR(B6="",B9="",B8=""),"",UPPER(B6)&amp;"-"&amp;UPPER(B9)&amp;"-"&amp;B8)</f>
        <v>TKY03-SHI-0125</v>
      </c>
      <c r="C5" s="5" t="s">
        <v>6</v>
      </c>
    </row>
    <row r="6" spans="1:4">
      <c r="A6" s="6" t="s">
        <v>7</v>
      </c>
      <c r="B6" s="7" t="s">
        <v>8</v>
      </c>
      <c r="C6" s="8" t="s">
        <v>9</v>
      </c>
    </row>
    <row r="7" spans="1:4">
      <c r="A7" s="6" t="s">
        <v>10</v>
      </c>
      <c r="B7" s="7" t="s">
        <v>11</v>
      </c>
      <c r="C7" s="8" t="s">
        <v>12</v>
      </c>
    </row>
    <row r="8" spans="1:4">
      <c r="A8" s="6" t="s">
        <v>13</v>
      </c>
      <c r="B8" s="13" t="s">
        <v>14</v>
      </c>
      <c r="C8" s="8" t="s">
        <v>15</v>
      </c>
    </row>
    <row r="9" spans="1:4">
      <c r="A9" s="6" t="s">
        <v>16</v>
      </c>
      <c r="B9" s="7" t="str">
        <f>IFERROR(VLOOKUP(B7,Config!$A$2:$B$8,2,FALSE),"")</f>
        <v>SHI</v>
      </c>
      <c r="C9" s="8" t="s">
        <v>17</v>
      </c>
    </row>
    <row r="10" spans="1:4">
      <c r="A10" s="6" t="s">
        <v>18</v>
      </c>
      <c r="B10" s="7" t="s">
        <v>19</v>
      </c>
      <c r="C10" s="8" t="s">
        <v>20</v>
      </c>
    </row>
    <row r="11" spans="1:4">
      <c r="A11" s="6" t="s">
        <v>21</v>
      </c>
      <c r="B11" s="7" t="s">
        <v>22</v>
      </c>
      <c r="C11" s="8" t="s">
        <v>23</v>
      </c>
    </row>
    <row r="12" spans="1:4">
      <c r="A12" s="6" t="s">
        <v>24</v>
      </c>
      <c r="B12" s="10">
        <v>1850</v>
      </c>
      <c r="C12" s="8" t="s">
        <v>25</v>
      </c>
    </row>
    <row r="13" spans="1:4">
      <c r="A13" s="6" t="s">
        <v>26</v>
      </c>
      <c r="B13" s="7" t="s">
        <v>27</v>
      </c>
      <c r="C13" s="8" t="s">
        <v>28</v>
      </c>
    </row>
    <row r="14" spans="1:4">
      <c r="A14" s="6" t="s">
        <v>29</v>
      </c>
      <c r="B14" s="7" t="s">
        <v>30</v>
      </c>
      <c r="C14" s="8" t="s">
        <v>31</v>
      </c>
    </row>
    <row r="15" spans="1:4">
      <c r="A15" s="6" t="s">
        <v>32</v>
      </c>
      <c r="B15" s="11"/>
      <c r="C15" s="8" t="s">
        <v>33</v>
      </c>
    </row>
    <row r="16" spans="1:4">
      <c r="A16" s="6" t="s">
        <v>34</v>
      </c>
      <c r="B16" s="7" t="s">
        <v>35</v>
      </c>
      <c r="C16" s="8" t="s">
        <v>36</v>
      </c>
    </row>
    <row r="17" spans="1:4">
      <c r="A17" s="6" t="s">
        <v>37</v>
      </c>
      <c r="B17" s="12">
        <v>8</v>
      </c>
      <c r="C17" s="8" t="s">
        <v>38</v>
      </c>
    </row>
    <row r="18" spans="1:4">
      <c r="A18" s="6" t="s">
        <v>39</v>
      </c>
      <c r="B18" s="7" t="s">
        <v>40</v>
      </c>
      <c r="C18" s="8" t="s">
        <v>41</v>
      </c>
    </row>
    <row r="19" spans="1:4">
      <c r="A19" s="6" t="s">
        <v>42</v>
      </c>
      <c r="B19" s="7" t="s">
        <v>43</v>
      </c>
      <c r="C19" s="8" t="s">
        <v>44</v>
      </c>
    </row>
    <row r="20" spans="1:4">
      <c r="A20" s="6" t="s">
        <v>45</v>
      </c>
      <c r="B20" s="7" t="s">
        <v>46</v>
      </c>
      <c r="C20" s="8" t="s">
        <v>47</v>
      </c>
    </row>
    <row r="21" spans="1:4">
      <c r="A21" s="6" t="s">
        <v>48</v>
      </c>
      <c r="B21" s="7"/>
      <c r="C21" s="8" t="s">
        <v>49</v>
      </c>
    </row>
    <row r="23" spans="1:4">
      <c r="A23" s="28" t="s">
        <v>50</v>
      </c>
      <c r="B23" s="28"/>
      <c r="C23" s="28"/>
      <c r="D23" s="28"/>
    </row>
  </sheetData>
  <mergeCells count="3">
    <mergeCell ref="A1:D1"/>
    <mergeCell ref="A2:D2"/>
    <mergeCell ref="A23:D23"/>
  </mergeCells>
  <dataValidations count="1">
    <dataValidation type="whole" sqref="B17" xr:uid="{00000000-0002-0000-0000-000006000000}">
      <formula1>1</formula1>
      <formula2>10</formula2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xr:uid="{00000000-0002-0000-0000-000000000000}">
          <x14:formula1>
            <xm:f>Config!$F$2:$F$5</xm:f>
          </x14:formula1>
          <xm:sqref>B6</xm:sqref>
        </x14:dataValidation>
        <x14:dataValidation type="list" xr:uid="{00000000-0002-0000-0000-000001000000}">
          <x14:formula1>
            <xm:f>Config!$A$2:$A$8</xm:f>
          </x14:formula1>
          <xm:sqref>B7</xm:sqref>
        </x14:dataValidation>
        <x14:dataValidation type="list" xr:uid="{00000000-0002-0000-0000-000002000000}">
          <x14:formula1>
            <xm:f>Config!$I$2:$I$6</xm:f>
          </x14:formula1>
          <xm:sqref>B11</xm:sqref>
        </x14:dataValidation>
        <x14:dataValidation type="list" xr:uid="{00000000-0002-0000-0000-000003000000}">
          <x14:formula1>
            <xm:f>Config!$G$2:$G$5</xm:f>
          </x14:formula1>
          <xm:sqref>B13</xm:sqref>
        </x14:dataValidation>
        <x14:dataValidation type="list" xr:uid="{00000000-0002-0000-0000-000004000000}">
          <x14:formula1>
            <xm:f>Config!$K$2:$K$5</xm:f>
          </x14:formula1>
          <xm:sqref>B16</xm:sqref>
        </x14:dataValidation>
        <x14:dataValidation type="list" xr:uid="{00000000-0002-0000-0000-000005000000}">
          <x14:formula1>
            <xm:f>Config!$M$2:$M$6</xm:f>
          </x14:formula1>
          <xm:sqref>B18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105"/>
  <sheetViews>
    <sheetView showGridLines="0" workbookViewId="0">
      <pane ySplit="4" topLeftCell="A5" activePane="bottomLeft" state="frozen"/>
      <selection pane="bottomLeft"/>
    </sheetView>
  </sheetViews>
  <sheetFormatPr defaultRowHeight="14.25"/>
  <cols>
    <col min="1" max="1" width="20" customWidth="1"/>
    <col min="2" max="2" width="15" customWidth="1"/>
    <col min="3" max="3" width="16" customWidth="1"/>
    <col min="4" max="5" width="12" customWidth="1"/>
    <col min="6" max="6" width="24" customWidth="1"/>
    <col min="7" max="7" width="16" customWidth="1"/>
    <col min="8" max="8" width="13" customWidth="1"/>
    <col min="9" max="9" width="18" customWidth="1"/>
    <col min="10" max="10" width="30" customWidth="1"/>
    <col min="11" max="12" width="14" customWidth="1"/>
    <col min="13" max="13" width="10" customWidth="1"/>
    <col min="14" max="15" width="14" customWidth="1"/>
    <col min="16" max="16" width="36" customWidth="1"/>
    <col min="17" max="17" width="24" customWidth="1"/>
  </cols>
  <sheetData>
    <row r="1" spans="1:17" ht="27.95" customHeight="1">
      <c r="A1" s="26" t="s">
        <v>51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</row>
    <row r="2" spans="1:17" ht="30" customHeight="1">
      <c r="A2" s="27" t="s">
        <v>52</v>
      </c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</row>
    <row r="4" spans="1:17" ht="30" customHeight="1">
      <c r="A4" s="14" t="s">
        <v>53</v>
      </c>
      <c r="B4" s="14" t="s">
        <v>54</v>
      </c>
      <c r="C4" s="14" t="s">
        <v>55</v>
      </c>
      <c r="D4" s="14" t="s">
        <v>56</v>
      </c>
      <c r="E4" s="14" t="s">
        <v>57</v>
      </c>
      <c r="F4" s="14" t="s">
        <v>58</v>
      </c>
      <c r="G4" s="14" t="s">
        <v>59</v>
      </c>
      <c r="H4" s="14" t="s">
        <v>60</v>
      </c>
      <c r="I4" s="14" t="s">
        <v>61</v>
      </c>
      <c r="J4" s="14" t="s">
        <v>62</v>
      </c>
      <c r="K4" s="14" t="s">
        <v>63</v>
      </c>
      <c r="L4" s="14" t="s">
        <v>64</v>
      </c>
      <c r="M4" s="14" t="s">
        <v>65</v>
      </c>
      <c r="N4" s="14" t="s">
        <v>66</v>
      </c>
      <c r="O4" s="14" t="s">
        <v>67</v>
      </c>
      <c r="P4" s="14" t="s">
        <v>68</v>
      </c>
      <c r="Q4" s="14" t="s">
        <v>69</v>
      </c>
    </row>
    <row r="5" spans="1:17" ht="33.950000000000003" customHeight="1">
      <c r="A5" s="15" t="str">
        <f t="shared" ref="A5:A36" si="0">IF(OR(B5="",D5="",E5=""),"",UPPER(B5)&amp;"-"&amp;UPPER(D5)&amp;"-"&amp;E5)</f>
        <v>TKY03-SHI-0125</v>
      </c>
      <c r="B5" s="15" t="s">
        <v>8</v>
      </c>
      <c r="C5" s="15" t="s">
        <v>11</v>
      </c>
      <c r="D5" s="15" t="str">
        <f>IFERROR(VLOOKUP(C5,Config!$A$2:$B$8,2,FALSE),"")</f>
        <v>SHI</v>
      </c>
      <c r="E5" s="24" t="s">
        <v>14</v>
      </c>
      <c r="F5" s="15" t="s">
        <v>19</v>
      </c>
      <c r="G5" s="15" t="s">
        <v>22</v>
      </c>
      <c r="H5" s="18">
        <v>1850</v>
      </c>
      <c r="I5" s="15" t="s">
        <v>27</v>
      </c>
      <c r="J5" s="15" t="s">
        <v>30</v>
      </c>
      <c r="K5" s="20"/>
      <c r="L5" s="15" t="s">
        <v>35</v>
      </c>
      <c r="M5" s="22">
        <v>8</v>
      </c>
      <c r="N5" s="15" t="s">
        <v>40</v>
      </c>
      <c r="O5" s="15" t="s">
        <v>43</v>
      </c>
      <c r="P5" s="15" t="s">
        <v>46</v>
      </c>
      <c r="Q5" s="15"/>
    </row>
    <row r="6" spans="1:17">
      <c r="A6" s="16" t="str">
        <f t="shared" si="0"/>
        <v/>
      </c>
      <c r="B6" s="17"/>
      <c r="C6" s="17"/>
      <c r="D6" s="16" t="str">
        <f>IFERROR(VLOOKUP(C6,Config!$A$2:$B$8,2,FALSE),"")</f>
        <v/>
      </c>
      <c r="E6" s="25"/>
      <c r="F6" s="17"/>
      <c r="G6" s="17"/>
      <c r="H6" s="19"/>
      <c r="I6" s="17"/>
      <c r="J6" s="17"/>
      <c r="K6" s="21"/>
      <c r="L6" s="17"/>
      <c r="M6" s="23"/>
      <c r="N6" s="17"/>
      <c r="O6" s="17"/>
      <c r="P6" s="17"/>
      <c r="Q6" s="17"/>
    </row>
    <row r="7" spans="1:17">
      <c r="A7" s="16" t="str">
        <f t="shared" si="0"/>
        <v/>
      </c>
      <c r="B7" s="17"/>
      <c r="C7" s="17"/>
      <c r="D7" s="16" t="str">
        <f>IFERROR(VLOOKUP(C7,Config!$A$2:$B$8,2,FALSE),"")</f>
        <v/>
      </c>
      <c r="E7" s="25"/>
      <c r="F7" s="17"/>
      <c r="G7" s="17"/>
      <c r="H7" s="19"/>
      <c r="I7" s="17"/>
      <c r="J7" s="17"/>
      <c r="K7" s="21"/>
      <c r="L7" s="17"/>
      <c r="M7" s="23"/>
      <c r="N7" s="17"/>
      <c r="O7" s="17"/>
      <c r="P7" s="17"/>
      <c r="Q7" s="17"/>
    </row>
    <row r="8" spans="1:17">
      <c r="A8" s="16" t="str">
        <f t="shared" si="0"/>
        <v/>
      </c>
      <c r="B8" s="17"/>
      <c r="C8" s="17"/>
      <c r="D8" s="16" t="str">
        <f>IFERROR(VLOOKUP(C8,Config!$A$2:$B$8,2,FALSE),"")</f>
        <v/>
      </c>
      <c r="E8" s="25"/>
      <c r="F8" s="17"/>
      <c r="G8" s="17"/>
      <c r="H8" s="19"/>
      <c r="I8" s="17"/>
      <c r="J8" s="17"/>
      <c r="K8" s="21"/>
      <c r="L8" s="17"/>
      <c r="M8" s="23"/>
      <c r="N8" s="17"/>
      <c r="O8" s="17"/>
      <c r="P8" s="17"/>
      <c r="Q8" s="17"/>
    </row>
    <row r="9" spans="1:17">
      <c r="A9" s="16" t="str">
        <f t="shared" si="0"/>
        <v/>
      </c>
      <c r="B9" s="17"/>
      <c r="C9" s="17"/>
      <c r="D9" s="16" t="str">
        <f>IFERROR(VLOOKUP(C9,Config!$A$2:$B$8,2,FALSE),"")</f>
        <v/>
      </c>
      <c r="E9" s="25"/>
      <c r="F9" s="17"/>
      <c r="G9" s="17"/>
      <c r="H9" s="19"/>
      <c r="I9" s="17"/>
      <c r="J9" s="17"/>
      <c r="K9" s="21"/>
      <c r="L9" s="17"/>
      <c r="M9" s="23"/>
      <c r="N9" s="17"/>
      <c r="O9" s="17"/>
      <c r="P9" s="17"/>
      <c r="Q9" s="17"/>
    </row>
    <row r="10" spans="1:17">
      <c r="A10" s="16" t="str">
        <f t="shared" si="0"/>
        <v/>
      </c>
      <c r="B10" s="17"/>
      <c r="C10" s="17"/>
      <c r="D10" s="16" t="str">
        <f>IFERROR(VLOOKUP(C10,Config!$A$2:$B$8,2,FALSE),"")</f>
        <v/>
      </c>
      <c r="E10" s="25"/>
      <c r="F10" s="17"/>
      <c r="G10" s="17"/>
      <c r="H10" s="19"/>
      <c r="I10" s="17"/>
      <c r="J10" s="17"/>
      <c r="K10" s="21"/>
      <c r="L10" s="17"/>
      <c r="M10" s="23"/>
      <c r="N10" s="17"/>
      <c r="O10" s="17"/>
      <c r="P10" s="17"/>
      <c r="Q10" s="17"/>
    </row>
    <row r="11" spans="1:17">
      <c r="A11" s="16" t="str">
        <f t="shared" si="0"/>
        <v/>
      </c>
      <c r="B11" s="17"/>
      <c r="C11" s="17"/>
      <c r="D11" s="16" t="str">
        <f>IFERROR(VLOOKUP(C11,Config!$A$2:$B$8,2,FALSE),"")</f>
        <v/>
      </c>
      <c r="E11" s="25"/>
      <c r="F11" s="17"/>
      <c r="G11" s="17"/>
      <c r="H11" s="19"/>
      <c r="I11" s="17"/>
      <c r="J11" s="17"/>
      <c r="K11" s="21"/>
      <c r="L11" s="17"/>
      <c r="M11" s="23"/>
      <c r="N11" s="17"/>
      <c r="O11" s="17"/>
      <c r="P11" s="17"/>
      <c r="Q11" s="17"/>
    </row>
    <row r="12" spans="1:17">
      <c r="A12" s="16" t="str">
        <f t="shared" si="0"/>
        <v/>
      </c>
      <c r="B12" s="17"/>
      <c r="C12" s="17"/>
      <c r="D12" s="16" t="str">
        <f>IFERROR(VLOOKUP(C12,Config!$A$2:$B$8,2,FALSE),"")</f>
        <v/>
      </c>
      <c r="E12" s="25"/>
      <c r="F12" s="17"/>
      <c r="G12" s="17"/>
      <c r="H12" s="19"/>
      <c r="I12" s="17"/>
      <c r="J12" s="17"/>
      <c r="K12" s="21"/>
      <c r="L12" s="17"/>
      <c r="M12" s="23"/>
      <c r="N12" s="17"/>
      <c r="O12" s="17"/>
      <c r="P12" s="17"/>
      <c r="Q12" s="17"/>
    </row>
    <row r="13" spans="1:17">
      <c r="A13" s="16" t="str">
        <f t="shared" si="0"/>
        <v/>
      </c>
      <c r="B13" s="17"/>
      <c r="C13" s="17"/>
      <c r="D13" s="16" t="str">
        <f>IFERROR(VLOOKUP(C13,Config!$A$2:$B$8,2,FALSE),"")</f>
        <v/>
      </c>
      <c r="E13" s="25"/>
      <c r="F13" s="17"/>
      <c r="G13" s="17"/>
      <c r="H13" s="19"/>
      <c r="I13" s="17"/>
      <c r="J13" s="17"/>
      <c r="K13" s="21"/>
      <c r="L13" s="17"/>
      <c r="M13" s="23"/>
      <c r="N13" s="17"/>
      <c r="O13" s="17"/>
      <c r="P13" s="17"/>
      <c r="Q13" s="17"/>
    </row>
    <row r="14" spans="1:17">
      <c r="A14" s="16" t="str">
        <f t="shared" si="0"/>
        <v/>
      </c>
      <c r="B14" s="17"/>
      <c r="C14" s="17"/>
      <c r="D14" s="16" t="str">
        <f>IFERROR(VLOOKUP(C14,Config!$A$2:$B$8,2,FALSE),"")</f>
        <v/>
      </c>
      <c r="E14" s="25"/>
      <c r="F14" s="17"/>
      <c r="G14" s="17"/>
      <c r="H14" s="19"/>
      <c r="I14" s="17"/>
      <c r="J14" s="17"/>
      <c r="K14" s="21"/>
      <c r="L14" s="17"/>
      <c r="M14" s="23"/>
      <c r="N14" s="17"/>
      <c r="O14" s="17"/>
      <c r="P14" s="17"/>
      <c r="Q14" s="17"/>
    </row>
    <row r="15" spans="1:17">
      <c r="A15" s="16" t="str">
        <f t="shared" si="0"/>
        <v/>
      </c>
      <c r="B15" s="17"/>
      <c r="C15" s="17"/>
      <c r="D15" s="16" t="str">
        <f>IFERROR(VLOOKUP(C15,Config!$A$2:$B$8,2,FALSE),"")</f>
        <v/>
      </c>
      <c r="E15" s="25"/>
      <c r="F15" s="17"/>
      <c r="G15" s="17"/>
      <c r="H15" s="19"/>
      <c r="I15" s="17"/>
      <c r="J15" s="17"/>
      <c r="K15" s="21"/>
      <c r="L15" s="17"/>
      <c r="M15" s="23"/>
      <c r="N15" s="17"/>
      <c r="O15" s="17"/>
      <c r="P15" s="17"/>
      <c r="Q15" s="17"/>
    </row>
    <row r="16" spans="1:17">
      <c r="A16" s="16" t="str">
        <f t="shared" si="0"/>
        <v/>
      </c>
      <c r="B16" s="17"/>
      <c r="C16" s="17"/>
      <c r="D16" s="16" t="str">
        <f>IFERROR(VLOOKUP(C16,Config!$A$2:$B$8,2,FALSE),"")</f>
        <v/>
      </c>
      <c r="E16" s="25"/>
      <c r="F16" s="17"/>
      <c r="G16" s="17"/>
      <c r="H16" s="19"/>
      <c r="I16" s="17"/>
      <c r="J16" s="17"/>
      <c r="K16" s="21"/>
      <c r="L16" s="17"/>
      <c r="M16" s="23"/>
      <c r="N16" s="17"/>
      <c r="O16" s="17"/>
      <c r="P16" s="17"/>
      <c r="Q16" s="17"/>
    </row>
    <row r="17" spans="1:17">
      <c r="A17" s="16" t="str">
        <f t="shared" si="0"/>
        <v/>
      </c>
      <c r="B17" s="17"/>
      <c r="C17" s="17"/>
      <c r="D17" s="16" t="str">
        <f>IFERROR(VLOOKUP(C17,Config!$A$2:$B$8,2,FALSE),"")</f>
        <v/>
      </c>
      <c r="E17" s="25"/>
      <c r="F17" s="17"/>
      <c r="G17" s="17"/>
      <c r="H17" s="19"/>
      <c r="I17" s="17"/>
      <c r="J17" s="17"/>
      <c r="K17" s="21"/>
      <c r="L17" s="17"/>
      <c r="M17" s="23"/>
      <c r="N17" s="17"/>
      <c r="O17" s="17"/>
      <c r="P17" s="17"/>
      <c r="Q17" s="17"/>
    </row>
    <row r="18" spans="1:17">
      <c r="A18" s="16" t="str">
        <f t="shared" si="0"/>
        <v/>
      </c>
      <c r="B18" s="17"/>
      <c r="C18" s="17"/>
      <c r="D18" s="16" t="str">
        <f>IFERROR(VLOOKUP(C18,Config!$A$2:$B$8,2,FALSE),"")</f>
        <v/>
      </c>
      <c r="E18" s="25"/>
      <c r="F18" s="17"/>
      <c r="G18" s="17"/>
      <c r="H18" s="19"/>
      <c r="I18" s="17"/>
      <c r="J18" s="17"/>
      <c r="K18" s="21"/>
      <c r="L18" s="17"/>
      <c r="M18" s="23"/>
      <c r="N18" s="17"/>
      <c r="O18" s="17"/>
      <c r="P18" s="17"/>
      <c r="Q18" s="17"/>
    </row>
    <row r="19" spans="1:17">
      <c r="A19" s="16" t="str">
        <f t="shared" si="0"/>
        <v/>
      </c>
      <c r="B19" s="17"/>
      <c r="C19" s="17"/>
      <c r="D19" s="16" t="str">
        <f>IFERROR(VLOOKUP(C19,Config!$A$2:$B$8,2,FALSE),"")</f>
        <v/>
      </c>
      <c r="E19" s="25"/>
      <c r="F19" s="17"/>
      <c r="G19" s="17"/>
      <c r="H19" s="19"/>
      <c r="I19" s="17"/>
      <c r="J19" s="17"/>
      <c r="K19" s="21"/>
      <c r="L19" s="17"/>
      <c r="M19" s="23"/>
      <c r="N19" s="17"/>
      <c r="O19" s="17"/>
      <c r="P19" s="17"/>
      <c r="Q19" s="17"/>
    </row>
    <row r="20" spans="1:17">
      <c r="A20" s="16" t="str">
        <f t="shared" si="0"/>
        <v/>
      </c>
      <c r="B20" s="17"/>
      <c r="C20" s="17"/>
      <c r="D20" s="16" t="str">
        <f>IFERROR(VLOOKUP(C20,Config!$A$2:$B$8,2,FALSE),"")</f>
        <v/>
      </c>
      <c r="E20" s="25"/>
      <c r="F20" s="17"/>
      <c r="G20" s="17"/>
      <c r="H20" s="19"/>
      <c r="I20" s="17"/>
      <c r="J20" s="17"/>
      <c r="K20" s="21"/>
      <c r="L20" s="17"/>
      <c r="M20" s="23"/>
      <c r="N20" s="17"/>
      <c r="O20" s="17"/>
      <c r="P20" s="17"/>
      <c r="Q20" s="17"/>
    </row>
    <row r="21" spans="1:17">
      <c r="A21" s="16" t="str">
        <f t="shared" si="0"/>
        <v/>
      </c>
      <c r="B21" s="17"/>
      <c r="C21" s="17"/>
      <c r="D21" s="16" t="str">
        <f>IFERROR(VLOOKUP(C21,Config!$A$2:$B$8,2,FALSE),"")</f>
        <v/>
      </c>
      <c r="E21" s="25"/>
      <c r="F21" s="17"/>
      <c r="G21" s="17"/>
      <c r="H21" s="19"/>
      <c r="I21" s="17"/>
      <c r="J21" s="17"/>
      <c r="K21" s="21"/>
      <c r="L21" s="17"/>
      <c r="M21" s="23"/>
      <c r="N21" s="17"/>
      <c r="O21" s="17"/>
      <c r="P21" s="17"/>
      <c r="Q21" s="17"/>
    </row>
    <row r="22" spans="1:17">
      <c r="A22" s="16" t="str">
        <f t="shared" si="0"/>
        <v/>
      </c>
      <c r="B22" s="17"/>
      <c r="C22" s="17"/>
      <c r="D22" s="16" t="str">
        <f>IFERROR(VLOOKUP(C22,Config!$A$2:$B$8,2,FALSE),"")</f>
        <v/>
      </c>
      <c r="E22" s="25"/>
      <c r="F22" s="17"/>
      <c r="G22" s="17"/>
      <c r="H22" s="19"/>
      <c r="I22" s="17"/>
      <c r="J22" s="17"/>
      <c r="K22" s="21"/>
      <c r="L22" s="17"/>
      <c r="M22" s="23"/>
      <c r="N22" s="17"/>
      <c r="O22" s="17"/>
      <c r="P22" s="17"/>
      <c r="Q22" s="17"/>
    </row>
    <row r="23" spans="1:17">
      <c r="A23" s="16" t="str">
        <f t="shared" si="0"/>
        <v/>
      </c>
      <c r="B23" s="17"/>
      <c r="C23" s="17"/>
      <c r="D23" s="16" t="str">
        <f>IFERROR(VLOOKUP(C23,Config!$A$2:$B$8,2,FALSE),"")</f>
        <v/>
      </c>
      <c r="E23" s="25"/>
      <c r="F23" s="17"/>
      <c r="G23" s="17"/>
      <c r="H23" s="19"/>
      <c r="I23" s="17"/>
      <c r="J23" s="17"/>
      <c r="K23" s="21"/>
      <c r="L23" s="17"/>
      <c r="M23" s="23"/>
      <c r="N23" s="17"/>
      <c r="O23" s="17"/>
      <c r="P23" s="17"/>
      <c r="Q23" s="17"/>
    </row>
    <row r="24" spans="1:17">
      <c r="A24" s="16" t="str">
        <f t="shared" si="0"/>
        <v/>
      </c>
      <c r="B24" s="17"/>
      <c r="C24" s="17"/>
      <c r="D24" s="16" t="str">
        <f>IFERROR(VLOOKUP(C24,Config!$A$2:$B$8,2,FALSE),"")</f>
        <v/>
      </c>
      <c r="E24" s="25"/>
      <c r="F24" s="17"/>
      <c r="G24" s="17"/>
      <c r="H24" s="19"/>
      <c r="I24" s="17"/>
      <c r="J24" s="17"/>
      <c r="K24" s="21"/>
      <c r="L24" s="17"/>
      <c r="M24" s="23"/>
      <c r="N24" s="17"/>
      <c r="O24" s="17"/>
      <c r="P24" s="17"/>
      <c r="Q24" s="17"/>
    </row>
    <row r="25" spans="1:17">
      <c r="A25" s="16" t="str">
        <f t="shared" si="0"/>
        <v/>
      </c>
      <c r="B25" s="17"/>
      <c r="C25" s="17"/>
      <c r="D25" s="16" t="str">
        <f>IFERROR(VLOOKUP(C25,Config!$A$2:$B$8,2,FALSE),"")</f>
        <v/>
      </c>
      <c r="E25" s="25"/>
      <c r="F25" s="17"/>
      <c r="G25" s="17"/>
      <c r="H25" s="19"/>
      <c r="I25" s="17"/>
      <c r="J25" s="17"/>
      <c r="K25" s="21"/>
      <c r="L25" s="17"/>
      <c r="M25" s="23"/>
      <c r="N25" s="17"/>
      <c r="O25" s="17"/>
      <c r="P25" s="17"/>
      <c r="Q25" s="17"/>
    </row>
    <row r="26" spans="1:17">
      <c r="A26" s="16" t="str">
        <f t="shared" si="0"/>
        <v/>
      </c>
      <c r="B26" s="17"/>
      <c r="C26" s="17"/>
      <c r="D26" s="16" t="str">
        <f>IFERROR(VLOOKUP(C26,Config!$A$2:$B$8,2,FALSE),"")</f>
        <v/>
      </c>
      <c r="E26" s="25"/>
      <c r="F26" s="17"/>
      <c r="G26" s="17"/>
      <c r="H26" s="19"/>
      <c r="I26" s="17"/>
      <c r="J26" s="17"/>
      <c r="K26" s="21"/>
      <c r="L26" s="17"/>
      <c r="M26" s="23"/>
      <c r="N26" s="17"/>
      <c r="O26" s="17"/>
      <c r="P26" s="17"/>
      <c r="Q26" s="17"/>
    </row>
    <row r="27" spans="1:17">
      <c r="A27" s="16" t="str">
        <f t="shared" si="0"/>
        <v/>
      </c>
      <c r="B27" s="17"/>
      <c r="C27" s="17"/>
      <c r="D27" s="16" t="str">
        <f>IFERROR(VLOOKUP(C27,Config!$A$2:$B$8,2,FALSE),"")</f>
        <v/>
      </c>
      <c r="E27" s="25"/>
      <c r="F27" s="17"/>
      <c r="G27" s="17"/>
      <c r="H27" s="19"/>
      <c r="I27" s="17"/>
      <c r="J27" s="17"/>
      <c r="K27" s="21"/>
      <c r="L27" s="17"/>
      <c r="M27" s="23"/>
      <c r="N27" s="17"/>
      <c r="O27" s="17"/>
      <c r="P27" s="17"/>
      <c r="Q27" s="17"/>
    </row>
    <row r="28" spans="1:17">
      <c r="A28" s="16" t="str">
        <f t="shared" si="0"/>
        <v/>
      </c>
      <c r="B28" s="17"/>
      <c r="C28" s="17"/>
      <c r="D28" s="16" t="str">
        <f>IFERROR(VLOOKUP(C28,Config!$A$2:$B$8,2,FALSE),"")</f>
        <v/>
      </c>
      <c r="E28" s="25"/>
      <c r="F28" s="17"/>
      <c r="G28" s="17"/>
      <c r="H28" s="19"/>
      <c r="I28" s="17"/>
      <c r="J28" s="17"/>
      <c r="K28" s="21"/>
      <c r="L28" s="17"/>
      <c r="M28" s="23"/>
      <c r="N28" s="17"/>
      <c r="O28" s="17"/>
      <c r="P28" s="17"/>
      <c r="Q28" s="17"/>
    </row>
    <row r="29" spans="1:17">
      <c r="A29" s="16" t="str">
        <f t="shared" si="0"/>
        <v/>
      </c>
      <c r="B29" s="17"/>
      <c r="C29" s="17"/>
      <c r="D29" s="16" t="str">
        <f>IFERROR(VLOOKUP(C29,Config!$A$2:$B$8,2,FALSE),"")</f>
        <v/>
      </c>
      <c r="E29" s="25"/>
      <c r="F29" s="17"/>
      <c r="G29" s="17"/>
      <c r="H29" s="19"/>
      <c r="I29" s="17"/>
      <c r="J29" s="17"/>
      <c r="K29" s="21"/>
      <c r="L29" s="17"/>
      <c r="M29" s="23"/>
      <c r="N29" s="17"/>
      <c r="O29" s="17"/>
      <c r="P29" s="17"/>
      <c r="Q29" s="17"/>
    </row>
    <row r="30" spans="1:17">
      <c r="A30" s="16" t="str">
        <f t="shared" si="0"/>
        <v/>
      </c>
      <c r="B30" s="17"/>
      <c r="C30" s="17"/>
      <c r="D30" s="16" t="str">
        <f>IFERROR(VLOOKUP(C30,Config!$A$2:$B$8,2,FALSE),"")</f>
        <v/>
      </c>
      <c r="E30" s="25"/>
      <c r="F30" s="17"/>
      <c r="G30" s="17"/>
      <c r="H30" s="19"/>
      <c r="I30" s="17"/>
      <c r="J30" s="17"/>
      <c r="K30" s="21"/>
      <c r="L30" s="17"/>
      <c r="M30" s="23"/>
      <c r="N30" s="17"/>
      <c r="O30" s="17"/>
      <c r="P30" s="17"/>
      <c r="Q30" s="17"/>
    </row>
    <row r="31" spans="1:17">
      <c r="A31" s="16" t="str">
        <f t="shared" si="0"/>
        <v/>
      </c>
      <c r="B31" s="17"/>
      <c r="C31" s="17"/>
      <c r="D31" s="16" t="str">
        <f>IFERROR(VLOOKUP(C31,Config!$A$2:$B$8,2,FALSE),"")</f>
        <v/>
      </c>
      <c r="E31" s="25"/>
      <c r="F31" s="17"/>
      <c r="G31" s="17"/>
      <c r="H31" s="19"/>
      <c r="I31" s="17"/>
      <c r="J31" s="17"/>
      <c r="K31" s="21"/>
      <c r="L31" s="17"/>
      <c r="M31" s="23"/>
      <c r="N31" s="17"/>
      <c r="O31" s="17"/>
      <c r="P31" s="17"/>
      <c r="Q31" s="17"/>
    </row>
    <row r="32" spans="1:17">
      <c r="A32" s="16" t="str">
        <f t="shared" si="0"/>
        <v/>
      </c>
      <c r="B32" s="17"/>
      <c r="C32" s="17"/>
      <c r="D32" s="16" t="str">
        <f>IFERROR(VLOOKUP(C32,Config!$A$2:$B$8,2,FALSE),"")</f>
        <v/>
      </c>
      <c r="E32" s="25"/>
      <c r="F32" s="17"/>
      <c r="G32" s="17"/>
      <c r="H32" s="19"/>
      <c r="I32" s="17"/>
      <c r="J32" s="17"/>
      <c r="K32" s="21"/>
      <c r="L32" s="17"/>
      <c r="M32" s="23"/>
      <c r="N32" s="17"/>
      <c r="O32" s="17"/>
      <c r="P32" s="17"/>
      <c r="Q32" s="17"/>
    </row>
    <row r="33" spans="1:17">
      <c r="A33" s="16" t="str">
        <f t="shared" si="0"/>
        <v/>
      </c>
      <c r="B33" s="17"/>
      <c r="C33" s="17"/>
      <c r="D33" s="16" t="str">
        <f>IFERROR(VLOOKUP(C33,Config!$A$2:$B$8,2,FALSE),"")</f>
        <v/>
      </c>
      <c r="E33" s="25"/>
      <c r="F33" s="17"/>
      <c r="G33" s="17"/>
      <c r="H33" s="19"/>
      <c r="I33" s="17"/>
      <c r="J33" s="17"/>
      <c r="K33" s="21"/>
      <c r="L33" s="17"/>
      <c r="M33" s="23"/>
      <c r="N33" s="17"/>
      <c r="O33" s="17"/>
      <c r="P33" s="17"/>
      <c r="Q33" s="17"/>
    </row>
    <row r="34" spans="1:17">
      <c r="A34" s="16" t="str">
        <f t="shared" si="0"/>
        <v/>
      </c>
      <c r="B34" s="17"/>
      <c r="C34" s="17"/>
      <c r="D34" s="16" t="str">
        <f>IFERROR(VLOOKUP(C34,Config!$A$2:$B$8,2,FALSE),"")</f>
        <v/>
      </c>
      <c r="E34" s="25"/>
      <c r="F34" s="17"/>
      <c r="G34" s="17"/>
      <c r="H34" s="19"/>
      <c r="I34" s="17"/>
      <c r="J34" s="17"/>
      <c r="K34" s="21"/>
      <c r="L34" s="17"/>
      <c r="M34" s="23"/>
      <c r="N34" s="17"/>
      <c r="O34" s="17"/>
      <c r="P34" s="17"/>
      <c r="Q34" s="17"/>
    </row>
    <row r="35" spans="1:17">
      <c r="A35" s="16" t="str">
        <f t="shared" si="0"/>
        <v/>
      </c>
      <c r="B35" s="17"/>
      <c r="C35" s="17"/>
      <c r="D35" s="16" t="str">
        <f>IFERROR(VLOOKUP(C35,Config!$A$2:$B$8,2,FALSE),"")</f>
        <v/>
      </c>
      <c r="E35" s="25"/>
      <c r="F35" s="17"/>
      <c r="G35" s="17"/>
      <c r="H35" s="19"/>
      <c r="I35" s="17"/>
      <c r="J35" s="17"/>
      <c r="K35" s="21"/>
      <c r="L35" s="17"/>
      <c r="M35" s="23"/>
      <c r="N35" s="17"/>
      <c r="O35" s="17"/>
      <c r="P35" s="17"/>
      <c r="Q35" s="17"/>
    </row>
    <row r="36" spans="1:17">
      <c r="A36" s="16" t="str">
        <f t="shared" si="0"/>
        <v/>
      </c>
      <c r="B36" s="17"/>
      <c r="C36" s="17"/>
      <c r="D36" s="16" t="str">
        <f>IFERROR(VLOOKUP(C36,Config!$A$2:$B$8,2,FALSE),"")</f>
        <v/>
      </c>
      <c r="E36" s="25"/>
      <c r="F36" s="17"/>
      <c r="G36" s="17"/>
      <c r="H36" s="19"/>
      <c r="I36" s="17"/>
      <c r="J36" s="17"/>
      <c r="K36" s="21"/>
      <c r="L36" s="17"/>
      <c r="M36" s="23"/>
      <c r="N36" s="17"/>
      <c r="O36" s="17"/>
      <c r="P36" s="17"/>
      <c r="Q36" s="17"/>
    </row>
    <row r="37" spans="1:17">
      <c r="A37" s="16" t="str">
        <f t="shared" ref="A37:A68" si="1">IF(OR(B37="",D37="",E37=""),"",UPPER(B37)&amp;"-"&amp;UPPER(D37)&amp;"-"&amp;E37)</f>
        <v/>
      </c>
      <c r="B37" s="17"/>
      <c r="C37" s="17"/>
      <c r="D37" s="16" t="str">
        <f>IFERROR(VLOOKUP(C37,Config!$A$2:$B$8,2,FALSE),"")</f>
        <v/>
      </c>
      <c r="E37" s="25"/>
      <c r="F37" s="17"/>
      <c r="G37" s="17"/>
      <c r="H37" s="19"/>
      <c r="I37" s="17"/>
      <c r="J37" s="17"/>
      <c r="K37" s="21"/>
      <c r="L37" s="17"/>
      <c r="M37" s="23"/>
      <c r="N37" s="17"/>
      <c r="O37" s="17"/>
      <c r="P37" s="17"/>
      <c r="Q37" s="17"/>
    </row>
    <row r="38" spans="1:17">
      <c r="A38" s="16" t="str">
        <f t="shared" si="1"/>
        <v/>
      </c>
      <c r="B38" s="17"/>
      <c r="C38" s="17"/>
      <c r="D38" s="16" t="str">
        <f>IFERROR(VLOOKUP(C38,Config!$A$2:$B$8,2,FALSE),"")</f>
        <v/>
      </c>
      <c r="E38" s="25"/>
      <c r="F38" s="17"/>
      <c r="G38" s="17"/>
      <c r="H38" s="19"/>
      <c r="I38" s="17"/>
      <c r="J38" s="17"/>
      <c r="K38" s="21"/>
      <c r="L38" s="17"/>
      <c r="M38" s="23"/>
      <c r="N38" s="17"/>
      <c r="O38" s="17"/>
      <c r="P38" s="17"/>
      <c r="Q38" s="17"/>
    </row>
    <row r="39" spans="1:17">
      <c r="A39" s="16" t="str">
        <f t="shared" si="1"/>
        <v/>
      </c>
      <c r="B39" s="17"/>
      <c r="C39" s="17"/>
      <c r="D39" s="16" t="str">
        <f>IFERROR(VLOOKUP(C39,Config!$A$2:$B$8,2,FALSE),"")</f>
        <v/>
      </c>
      <c r="E39" s="25"/>
      <c r="F39" s="17"/>
      <c r="G39" s="17"/>
      <c r="H39" s="19"/>
      <c r="I39" s="17"/>
      <c r="J39" s="17"/>
      <c r="K39" s="21"/>
      <c r="L39" s="17"/>
      <c r="M39" s="23"/>
      <c r="N39" s="17"/>
      <c r="O39" s="17"/>
      <c r="P39" s="17"/>
      <c r="Q39" s="17"/>
    </row>
    <row r="40" spans="1:17">
      <c r="A40" s="16" t="str">
        <f t="shared" si="1"/>
        <v/>
      </c>
      <c r="B40" s="17"/>
      <c r="C40" s="17"/>
      <c r="D40" s="16" t="str">
        <f>IFERROR(VLOOKUP(C40,Config!$A$2:$B$8,2,FALSE),"")</f>
        <v/>
      </c>
      <c r="E40" s="25"/>
      <c r="F40" s="17"/>
      <c r="G40" s="17"/>
      <c r="H40" s="19"/>
      <c r="I40" s="17"/>
      <c r="J40" s="17"/>
      <c r="K40" s="21"/>
      <c r="L40" s="17"/>
      <c r="M40" s="23"/>
      <c r="N40" s="17"/>
      <c r="O40" s="17"/>
      <c r="P40" s="17"/>
      <c r="Q40" s="17"/>
    </row>
    <row r="41" spans="1:17">
      <c r="A41" s="16" t="str">
        <f t="shared" si="1"/>
        <v/>
      </c>
      <c r="B41" s="17"/>
      <c r="C41" s="17"/>
      <c r="D41" s="16" t="str">
        <f>IFERROR(VLOOKUP(C41,Config!$A$2:$B$8,2,FALSE),"")</f>
        <v/>
      </c>
      <c r="E41" s="25"/>
      <c r="F41" s="17"/>
      <c r="G41" s="17"/>
      <c r="H41" s="19"/>
      <c r="I41" s="17"/>
      <c r="J41" s="17"/>
      <c r="K41" s="21"/>
      <c r="L41" s="17"/>
      <c r="M41" s="23"/>
      <c r="N41" s="17"/>
      <c r="O41" s="17"/>
      <c r="P41" s="17"/>
      <c r="Q41" s="17"/>
    </row>
    <row r="42" spans="1:17">
      <c r="A42" s="16" t="str">
        <f t="shared" si="1"/>
        <v/>
      </c>
      <c r="B42" s="17"/>
      <c r="C42" s="17"/>
      <c r="D42" s="16" t="str">
        <f>IFERROR(VLOOKUP(C42,Config!$A$2:$B$8,2,FALSE),"")</f>
        <v/>
      </c>
      <c r="E42" s="25"/>
      <c r="F42" s="17"/>
      <c r="G42" s="17"/>
      <c r="H42" s="19"/>
      <c r="I42" s="17"/>
      <c r="J42" s="17"/>
      <c r="K42" s="21"/>
      <c r="L42" s="17"/>
      <c r="M42" s="23"/>
      <c r="N42" s="17"/>
      <c r="O42" s="17"/>
      <c r="P42" s="17"/>
      <c r="Q42" s="17"/>
    </row>
    <row r="43" spans="1:17">
      <c r="A43" s="16" t="str">
        <f t="shared" si="1"/>
        <v/>
      </c>
      <c r="B43" s="17"/>
      <c r="C43" s="17"/>
      <c r="D43" s="16" t="str">
        <f>IFERROR(VLOOKUP(C43,Config!$A$2:$B$8,2,FALSE),"")</f>
        <v/>
      </c>
      <c r="E43" s="25"/>
      <c r="F43" s="17"/>
      <c r="G43" s="17"/>
      <c r="H43" s="19"/>
      <c r="I43" s="17"/>
      <c r="J43" s="17"/>
      <c r="K43" s="21"/>
      <c r="L43" s="17"/>
      <c r="M43" s="23"/>
      <c r="N43" s="17"/>
      <c r="O43" s="17"/>
      <c r="P43" s="17"/>
      <c r="Q43" s="17"/>
    </row>
    <row r="44" spans="1:17">
      <c r="A44" s="16" t="str">
        <f t="shared" si="1"/>
        <v/>
      </c>
      <c r="B44" s="17"/>
      <c r="C44" s="17"/>
      <c r="D44" s="16" t="str">
        <f>IFERROR(VLOOKUP(C44,Config!$A$2:$B$8,2,FALSE),"")</f>
        <v/>
      </c>
      <c r="E44" s="25"/>
      <c r="F44" s="17"/>
      <c r="G44" s="17"/>
      <c r="H44" s="19"/>
      <c r="I44" s="17"/>
      <c r="J44" s="17"/>
      <c r="K44" s="21"/>
      <c r="L44" s="17"/>
      <c r="M44" s="23"/>
      <c r="N44" s="17"/>
      <c r="O44" s="17"/>
      <c r="P44" s="17"/>
      <c r="Q44" s="17"/>
    </row>
    <row r="45" spans="1:17">
      <c r="A45" s="16" t="str">
        <f t="shared" si="1"/>
        <v/>
      </c>
      <c r="B45" s="17"/>
      <c r="C45" s="17"/>
      <c r="D45" s="16" t="str">
        <f>IFERROR(VLOOKUP(C45,Config!$A$2:$B$8,2,FALSE),"")</f>
        <v/>
      </c>
      <c r="E45" s="25"/>
      <c r="F45" s="17"/>
      <c r="G45" s="17"/>
      <c r="H45" s="19"/>
      <c r="I45" s="17"/>
      <c r="J45" s="17"/>
      <c r="K45" s="21"/>
      <c r="L45" s="17"/>
      <c r="M45" s="23"/>
      <c r="N45" s="17"/>
      <c r="O45" s="17"/>
      <c r="P45" s="17"/>
      <c r="Q45" s="17"/>
    </row>
    <row r="46" spans="1:17">
      <c r="A46" s="16" t="str">
        <f t="shared" si="1"/>
        <v/>
      </c>
      <c r="B46" s="17"/>
      <c r="C46" s="17"/>
      <c r="D46" s="16" t="str">
        <f>IFERROR(VLOOKUP(C46,Config!$A$2:$B$8,2,FALSE),"")</f>
        <v/>
      </c>
      <c r="E46" s="25"/>
      <c r="F46" s="17"/>
      <c r="G46" s="17"/>
      <c r="H46" s="19"/>
      <c r="I46" s="17"/>
      <c r="J46" s="17"/>
      <c r="K46" s="21"/>
      <c r="L46" s="17"/>
      <c r="M46" s="23"/>
      <c r="N46" s="17"/>
      <c r="O46" s="17"/>
      <c r="P46" s="17"/>
      <c r="Q46" s="17"/>
    </row>
    <row r="47" spans="1:17">
      <c r="A47" s="16" t="str">
        <f t="shared" si="1"/>
        <v/>
      </c>
      <c r="B47" s="17"/>
      <c r="C47" s="17"/>
      <c r="D47" s="16" t="str">
        <f>IFERROR(VLOOKUP(C47,Config!$A$2:$B$8,2,FALSE),"")</f>
        <v/>
      </c>
      <c r="E47" s="25"/>
      <c r="F47" s="17"/>
      <c r="G47" s="17"/>
      <c r="H47" s="19"/>
      <c r="I47" s="17"/>
      <c r="J47" s="17"/>
      <c r="K47" s="21"/>
      <c r="L47" s="17"/>
      <c r="M47" s="23"/>
      <c r="N47" s="17"/>
      <c r="O47" s="17"/>
      <c r="P47" s="17"/>
      <c r="Q47" s="17"/>
    </row>
    <row r="48" spans="1:17">
      <c r="A48" s="16" t="str">
        <f t="shared" si="1"/>
        <v/>
      </c>
      <c r="B48" s="17"/>
      <c r="C48" s="17"/>
      <c r="D48" s="16" t="str">
        <f>IFERROR(VLOOKUP(C48,Config!$A$2:$B$8,2,FALSE),"")</f>
        <v/>
      </c>
      <c r="E48" s="25"/>
      <c r="F48" s="17"/>
      <c r="G48" s="17"/>
      <c r="H48" s="19"/>
      <c r="I48" s="17"/>
      <c r="J48" s="17"/>
      <c r="K48" s="21"/>
      <c r="L48" s="17"/>
      <c r="M48" s="23"/>
      <c r="N48" s="17"/>
      <c r="O48" s="17"/>
      <c r="P48" s="17"/>
      <c r="Q48" s="17"/>
    </row>
    <row r="49" spans="1:17">
      <c r="A49" s="16" t="str">
        <f t="shared" si="1"/>
        <v/>
      </c>
      <c r="B49" s="17"/>
      <c r="C49" s="17"/>
      <c r="D49" s="16" t="str">
        <f>IFERROR(VLOOKUP(C49,Config!$A$2:$B$8,2,FALSE),"")</f>
        <v/>
      </c>
      <c r="E49" s="25"/>
      <c r="F49" s="17"/>
      <c r="G49" s="17"/>
      <c r="H49" s="19"/>
      <c r="I49" s="17"/>
      <c r="J49" s="17"/>
      <c r="K49" s="21"/>
      <c r="L49" s="17"/>
      <c r="M49" s="23"/>
      <c r="N49" s="17"/>
      <c r="O49" s="17"/>
      <c r="P49" s="17"/>
      <c r="Q49" s="17"/>
    </row>
    <row r="50" spans="1:17">
      <c r="A50" s="16" t="str">
        <f t="shared" si="1"/>
        <v/>
      </c>
      <c r="B50" s="17"/>
      <c r="C50" s="17"/>
      <c r="D50" s="16" t="str">
        <f>IFERROR(VLOOKUP(C50,Config!$A$2:$B$8,2,FALSE),"")</f>
        <v/>
      </c>
      <c r="E50" s="25"/>
      <c r="F50" s="17"/>
      <c r="G50" s="17"/>
      <c r="H50" s="19"/>
      <c r="I50" s="17"/>
      <c r="J50" s="17"/>
      <c r="K50" s="21"/>
      <c r="L50" s="17"/>
      <c r="M50" s="23"/>
      <c r="N50" s="17"/>
      <c r="O50" s="17"/>
      <c r="P50" s="17"/>
      <c r="Q50" s="17"/>
    </row>
    <row r="51" spans="1:17">
      <c r="A51" s="16" t="str">
        <f t="shared" si="1"/>
        <v/>
      </c>
      <c r="B51" s="17"/>
      <c r="C51" s="17"/>
      <c r="D51" s="16" t="str">
        <f>IFERROR(VLOOKUP(C51,Config!$A$2:$B$8,2,FALSE),"")</f>
        <v/>
      </c>
      <c r="E51" s="25"/>
      <c r="F51" s="17"/>
      <c r="G51" s="17"/>
      <c r="H51" s="19"/>
      <c r="I51" s="17"/>
      <c r="J51" s="17"/>
      <c r="K51" s="21"/>
      <c r="L51" s="17"/>
      <c r="M51" s="23"/>
      <c r="N51" s="17"/>
      <c r="O51" s="17"/>
      <c r="P51" s="17"/>
      <c r="Q51" s="17"/>
    </row>
    <row r="52" spans="1:17">
      <c r="A52" s="16" t="str">
        <f t="shared" si="1"/>
        <v/>
      </c>
      <c r="B52" s="17"/>
      <c r="C52" s="17"/>
      <c r="D52" s="16" t="str">
        <f>IFERROR(VLOOKUP(C52,Config!$A$2:$B$8,2,FALSE),"")</f>
        <v/>
      </c>
      <c r="E52" s="25"/>
      <c r="F52" s="17"/>
      <c r="G52" s="17"/>
      <c r="H52" s="19"/>
      <c r="I52" s="17"/>
      <c r="J52" s="17"/>
      <c r="K52" s="21"/>
      <c r="L52" s="17"/>
      <c r="M52" s="23"/>
      <c r="N52" s="17"/>
      <c r="O52" s="17"/>
      <c r="P52" s="17"/>
      <c r="Q52" s="17"/>
    </row>
    <row r="53" spans="1:17">
      <c r="A53" s="16" t="str">
        <f t="shared" si="1"/>
        <v/>
      </c>
      <c r="B53" s="17"/>
      <c r="C53" s="17"/>
      <c r="D53" s="16" t="str">
        <f>IFERROR(VLOOKUP(C53,Config!$A$2:$B$8,2,FALSE),"")</f>
        <v/>
      </c>
      <c r="E53" s="25"/>
      <c r="F53" s="17"/>
      <c r="G53" s="17"/>
      <c r="H53" s="19"/>
      <c r="I53" s="17"/>
      <c r="J53" s="17"/>
      <c r="K53" s="21"/>
      <c r="L53" s="17"/>
      <c r="M53" s="23"/>
      <c r="N53" s="17"/>
      <c r="O53" s="17"/>
      <c r="P53" s="17"/>
      <c r="Q53" s="17"/>
    </row>
    <row r="54" spans="1:17">
      <c r="A54" s="16" t="str">
        <f t="shared" si="1"/>
        <v/>
      </c>
      <c r="B54" s="17"/>
      <c r="C54" s="17"/>
      <c r="D54" s="16" t="str">
        <f>IFERROR(VLOOKUP(C54,Config!$A$2:$B$8,2,FALSE),"")</f>
        <v/>
      </c>
      <c r="E54" s="25"/>
      <c r="F54" s="17"/>
      <c r="G54" s="17"/>
      <c r="H54" s="19"/>
      <c r="I54" s="17"/>
      <c r="J54" s="17"/>
      <c r="K54" s="21"/>
      <c r="L54" s="17"/>
      <c r="M54" s="23"/>
      <c r="N54" s="17"/>
      <c r="O54" s="17"/>
      <c r="P54" s="17"/>
      <c r="Q54" s="17"/>
    </row>
    <row r="55" spans="1:17">
      <c r="A55" s="16" t="str">
        <f t="shared" si="1"/>
        <v/>
      </c>
      <c r="B55" s="17"/>
      <c r="C55" s="17"/>
      <c r="D55" s="16" t="str">
        <f>IFERROR(VLOOKUP(C55,Config!$A$2:$B$8,2,FALSE),"")</f>
        <v/>
      </c>
      <c r="E55" s="25"/>
      <c r="F55" s="17"/>
      <c r="G55" s="17"/>
      <c r="H55" s="19"/>
      <c r="I55" s="17"/>
      <c r="J55" s="17"/>
      <c r="K55" s="21"/>
      <c r="L55" s="17"/>
      <c r="M55" s="23"/>
      <c r="N55" s="17"/>
      <c r="O55" s="17"/>
      <c r="P55" s="17"/>
      <c r="Q55" s="17"/>
    </row>
    <row r="56" spans="1:17">
      <c r="A56" s="16" t="str">
        <f t="shared" si="1"/>
        <v/>
      </c>
      <c r="B56" s="17"/>
      <c r="C56" s="17"/>
      <c r="D56" s="16" t="str">
        <f>IFERROR(VLOOKUP(C56,Config!$A$2:$B$8,2,FALSE),"")</f>
        <v/>
      </c>
      <c r="E56" s="25"/>
      <c r="F56" s="17"/>
      <c r="G56" s="17"/>
      <c r="H56" s="19"/>
      <c r="I56" s="17"/>
      <c r="J56" s="17"/>
      <c r="K56" s="21"/>
      <c r="L56" s="17"/>
      <c r="M56" s="23"/>
      <c r="N56" s="17"/>
      <c r="O56" s="17"/>
      <c r="P56" s="17"/>
      <c r="Q56" s="17"/>
    </row>
    <row r="57" spans="1:17">
      <c r="A57" s="16" t="str">
        <f t="shared" si="1"/>
        <v/>
      </c>
      <c r="B57" s="17"/>
      <c r="C57" s="17"/>
      <c r="D57" s="16" t="str">
        <f>IFERROR(VLOOKUP(C57,Config!$A$2:$B$8,2,FALSE),"")</f>
        <v/>
      </c>
      <c r="E57" s="25"/>
      <c r="F57" s="17"/>
      <c r="G57" s="17"/>
      <c r="H57" s="19"/>
      <c r="I57" s="17"/>
      <c r="J57" s="17"/>
      <c r="K57" s="21"/>
      <c r="L57" s="17"/>
      <c r="M57" s="23"/>
      <c r="N57" s="17"/>
      <c r="O57" s="17"/>
      <c r="P57" s="17"/>
      <c r="Q57" s="17"/>
    </row>
    <row r="58" spans="1:17">
      <c r="A58" s="16" t="str">
        <f t="shared" si="1"/>
        <v/>
      </c>
      <c r="B58" s="17"/>
      <c r="C58" s="17"/>
      <c r="D58" s="16" t="str">
        <f>IFERROR(VLOOKUP(C58,Config!$A$2:$B$8,2,FALSE),"")</f>
        <v/>
      </c>
      <c r="E58" s="25"/>
      <c r="F58" s="17"/>
      <c r="G58" s="17"/>
      <c r="H58" s="19"/>
      <c r="I58" s="17"/>
      <c r="J58" s="17"/>
      <c r="K58" s="21"/>
      <c r="L58" s="17"/>
      <c r="M58" s="23"/>
      <c r="N58" s="17"/>
      <c r="O58" s="17"/>
      <c r="P58" s="17"/>
      <c r="Q58" s="17"/>
    </row>
    <row r="59" spans="1:17">
      <c r="A59" s="16" t="str">
        <f t="shared" si="1"/>
        <v/>
      </c>
      <c r="B59" s="17"/>
      <c r="C59" s="17"/>
      <c r="D59" s="16" t="str">
        <f>IFERROR(VLOOKUP(C59,Config!$A$2:$B$8,2,FALSE),"")</f>
        <v/>
      </c>
      <c r="E59" s="25"/>
      <c r="F59" s="17"/>
      <c r="G59" s="17"/>
      <c r="H59" s="19"/>
      <c r="I59" s="17"/>
      <c r="J59" s="17"/>
      <c r="K59" s="21"/>
      <c r="L59" s="17"/>
      <c r="M59" s="23"/>
      <c r="N59" s="17"/>
      <c r="O59" s="17"/>
      <c r="P59" s="17"/>
      <c r="Q59" s="17"/>
    </row>
    <row r="60" spans="1:17">
      <c r="A60" s="16" t="str">
        <f t="shared" si="1"/>
        <v/>
      </c>
      <c r="B60" s="17"/>
      <c r="C60" s="17"/>
      <c r="D60" s="16" t="str">
        <f>IFERROR(VLOOKUP(C60,Config!$A$2:$B$8,2,FALSE),"")</f>
        <v/>
      </c>
      <c r="E60" s="25"/>
      <c r="F60" s="17"/>
      <c r="G60" s="17"/>
      <c r="H60" s="19"/>
      <c r="I60" s="17"/>
      <c r="J60" s="17"/>
      <c r="K60" s="21"/>
      <c r="L60" s="17"/>
      <c r="M60" s="23"/>
      <c r="N60" s="17"/>
      <c r="O60" s="17"/>
      <c r="P60" s="17"/>
      <c r="Q60" s="17"/>
    </row>
    <row r="61" spans="1:17">
      <c r="A61" s="16" t="str">
        <f t="shared" si="1"/>
        <v/>
      </c>
      <c r="B61" s="17"/>
      <c r="C61" s="17"/>
      <c r="D61" s="16" t="str">
        <f>IFERROR(VLOOKUP(C61,Config!$A$2:$B$8,2,FALSE),"")</f>
        <v/>
      </c>
      <c r="E61" s="25"/>
      <c r="F61" s="17"/>
      <c r="G61" s="17"/>
      <c r="H61" s="19"/>
      <c r="I61" s="17"/>
      <c r="J61" s="17"/>
      <c r="K61" s="21"/>
      <c r="L61" s="17"/>
      <c r="M61" s="23"/>
      <c r="N61" s="17"/>
      <c r="O61" s="17"/>
      <c r="P61" s="17"/>
      <c r="Q61" s="17"/>
    </row>
    <row r="62" spans="1:17">
      <c r="A62" s="16" t="str">
        <f t="shared" si="1"/>
        <v/>
      </c>
      <c r="B62" s="17"/>
      <c r="C62" s="17"/>
      <c r="D62" s="16" t="str">
        <f>IFERROR(VLOOKUP(C62,Config!$A$2:$B$8,2,FALSE),"")</f>
        <v/>
      </c>
      <c r="E62" s="25"/>
      <c r="F62" s="17"/>
      <c r="G62" s="17"/>
      <c r="H62" s="19"/>
      <c r="I62" s="17"/>
      <c r="J62" s="17"/>
      <c r="K62" s="21"/>
      <c r="L62" s="17"/>
      <c r="M62" s="23"/>
      <c r="N62" s="17"/>
      <c r="O62" s="17"/>
      <c r="P62" s="17"/>
      <c r="Q62" s="17"/>
    </row>
    <row r="63" spans="1:17">
      <c r="A63" s="16" t="str">
        <f t="shared" si="1"/>
        <v/>
      </c>
      <c r="B63" s="17"/>
      <c r="C63" s="17"/>
      <c r="D63" s="16" t="str">
        <f>IFERROR(VLOOKUP(C63,Config!$A$2:$B$8,2,FALSE),"")</f>
        <v/>
      </c>
      <c r="E63" s="25"/>
      <c r="F63" s="17"/>
      <c r="G63" s="17"/>
      <c r="H63" s="19"/>
      <c r="I63" s="17"/>
      <c r="J63" s="17"/>
      <c r="K63" s="21"/>
      <c r="L63" s="17"/>
      <c r="M63" s="23"/>
      <c r="N63" s="17"/>
      <c r="O63" s="17"/>
      <c r="P63" s="17"/>
      <c r="Q63" s="17"/>
    </row>
    <row r="64" spans="1:17">
      <c r="A64" s="16" t="str">
        <f t="shared" si="1"/>
        <v/>
      </c>
      <c r="B64" s="17"/>
      <c r="C64" s="17"/>
      <c r="D64" s="16" t="str">
        <f>IFERROR(VLOOKUP(C64,Config!$A$2:$B$8,2,FALSE),"")</f>
        <v/>
      </c>
      <c r="E64" s="25"/>
      <c r="F64" s="17"/>
      <c r="G64" s="17"/>
      <c r="H64" s="19"/>
      <c r="I64" s="17"/>
      <c r="J64" s="17"/>
      <c r="K64" s="21"/>
      <c r="L64" s="17"/>
      <c r="M64" s="23"/>
      <c r="N64" s="17"/>
      <c r="O64" s="17"/>
      <c r="P64" s="17"/>
      <c r="Q64" s="17"/>
    </row>
    <row r="65" spans="1:17">
      <c r="A65" s="16" t="str">
        <f t="shared" si="1"/>
        <v/>
      </c>
      <c r="B65" s="17"/>
      <c r="C65" s="17"/>
      <c r="D65" s="16" t="str">
        <f>IFERROR(VLOOKUP(C65,Config!$A$2:$B$8,2,FALSE),"")</f>
        <v/>
      </c>
      <c r="E65" s="25"/>
      <c r="F65" s="17"/>
      <c r="G65" s="17"/>
      <c r="H65" s="19"/>
      <c r="I65" s="17"/>
      <c r="J65" s="17"/>
      <c r="K65" s="21"/>
      <c r="L65" s="17"/>
      <c r="M65" s="23"/>
      <c r="N65" s="17"/>
      <c r="O65" s="17"/>
      <c r="P65" s="17"/>
      <c r="Q65" s="17"/>
    </row>
    <row r="66" spans="1:17">
      <c r="A66" s="16" t="str">
        <f t="shared" si="1"/>
        <v/>
      </c>
      <c r="B66" s="17"/>
      <c r="C66" s="17"/>
      <c r="D66" s="16" t="str">
        <f>IFERROR(VLOOKUP(C66,Config!$A$2:$B$8,2,FALSE),"")</f>
        <v/>
      </c>
      <c r="E66" s="25"/>
      <c r="F66" s="17"/>
      <c r="G66" s="17"/>
      <c r="H66" s="19"/>
      <c r="I66" s="17"/>
      <c r="J66" s="17"/>
      <c r="K66" s="21"/>
      <c r="L66" s="17"/>
      <c r="M66" s="23"/>
      <c r="N66" s="17"/>
      <c r="O66" s="17"/>
      <c r="P66" s="17"/>
      <c r="Q66" s="17"/>
    </row>
    <row r="67" spans="1:17">
      <c r="A67" s="16" t="str">
        <f t="shared" si="1"/>
        <v/>
      </c>
      <c r="B67" s="17"/>
      <c r="C67" s="17"/>
      <c r="D67" s="16" t="str">
        <f>IFERROR(VLOOKUP(C67,Config!$A$2:$B$8,2,FALSE),"")</f>
        <v/>
      </c>
      <c r="E67" s="25"/>
      <c r="F67" s="17"/>
      <c r="G67" s="17"/>
      <c r="H67" s="19"/>
      <c r="I67" s="17"/>
      <c r="J67" s="17"/>
      <c r="K67" s="21"/>
      <c r="L67" s="17"/>
      <c r="M67" s="23"/>
      <c r="N67" s="17"/>
      <c r="O67" s="17"/>
      <c r="P67" s="17"/>
      <c r="Q67" s="17"/>
    </row>
    <row r="68" spans="1:17">
      <c r="A68" s="16" t="str">
        <f t="shared" si="1"/>
        <v/>
      </c>
      <c r="B68" s="17"/>
      <c r="C68" s="17"/>
      <c r="D68" s="16" t="str">
        <f>IFERROR(VLOOKUP(C68,Config!$A$2:$B$8,2,FALSE),"")</f>
        <v/>
      </c>
      <c r="E68" s="25"/>
      <c r="F68" s="17"/>
      <c r="G68" s="17"/>
      <c r="H68" s="19"/>
      <c r="I68" s="17"/>
      <c r="J68" s="17"/>
      <c r="K68" s="21"/>
      <c r="L68" s="17"/>
      <c r="M68" s="23"/>
      <c r="N68" s="17"/>
      <c r="O68" s="17"/>
      <c r="P68" s="17"/>
      <c r="Q68" s="17"/>
    </row>
    <row r="69" spans="1:17">
      <c r="A69" s="16" t="str">
        <f t="shared" ref="A69:A100" si="2">IF(OR(B69="",D69="",E69=""),"",UPPER(B69)&amp;"-"&amp;UPPER(D69)&amp;"-"&amp;E69)</f>
        <v/>
      </c>
      <c r="B69" s="17"/>
      <c r="C69" s="17"/>
      <c r="D69" s="16" t="str">
        <f>IFERROR(VLOOKUP(C69,Config!$A$2:$B$8,2,FALSE),"")</f>
        <v/>
      </c>
      <c r="E69" s="25"/>
      <c r="F69" s="17"/>
      <c r="G69" s="17"/>
      <c r="H69" s="19"/>
      <c r="I69" s="17"/>
      <c r="J69" s="17"/>
      <c r="K69" s="21"/>
      <c r="L69" s="17"/>
      <c r="M69" s="23"/>
      <c r="N69" s="17"/>
      <c r="O69" s="17"/>
      <c r="P69" s="17"/>
      <c r="Q69" s="17"/>
    </row>
    <row r="70" spans="1:17">
      <c r="A70" s="16" t="str">
        <f t="shared" si="2"/>
        <v/>
      </c>
      <c r="B70" s="17"/>
      <c r="C70" s="17"/>
      <c r="D70" s="16" t="str">
        <f>IFERROR(VLOOKUP(C70,Config!$A$2:$B$8,2,FALSE),"")</f>
        <v/>
      </c>
      <c r="E70" s="25"/>
      <c r="F70" s="17"/>
      <c r="G70" s="17"/>
      <c r="H70" s="19"/>
      <c r="I70" s="17"/>
      <c r="J70" s="17"/>
      <c r="K70" s="21"/>
      <c r="L70" s="17"/>
      <c r="M70" s="23"/>
      <c r="N70" s="17"/>
      <c r="O70" s="17"/>
      <c r="P70" s="17"/>
      <c r="Q70" s="17"/>
    </row>
    <row r="71" spans="1:17">
      <c r="A71" s="16" t="str">
        <f t="shared" si="2"/>
        <v/>
      </c>
      <c r="B71" s="17"/>
      <c r="C71" s="17"/>
      <c r="D71" s="16" t="str">
        <f>IFERROR(VLOOKUP(C71,Config!$A$2:$B$8,2,FALSE),"")</f>
        <v/>
      </c>
      <c r="E71" s="25"/>
      <c r="F71" s="17"/>
      <c r="G71" s="17"/>
      <c r="H71" s="19"/>
      <c r="I71" s="17"/>
      <c r="J71" s="17"/>
      <c r="K71" s="21"/>
      <c r="L71" s="17"/>
      <c r="M71" s="23"/>
      <c r="N71" s="17"/>
      <c r="O71" s="17"/>
      <c r="P71" s="17"/>
      <c r="Q71" s="17"/>
    </row>
    <row r="72" spans="1:17">
      <c r="A72" s="16" t="str">
        <f t="shared" si="2"/>
        <v/>
      </c>
      <c r="B72" s="17"/>
      <c r="C72" s="17"/>
      <c r="D72" s="16" t="str">
        <f>IFERROR(VLOOKUP(C72,Config!$A$2:$B$8,2,FALSE),"")</f>
        <v/>
      </c>
      <c r="E72" s="25"/>
      <c r="F72" s="17"/>
      <c r="G72" s="17"/>
      <c r="H72" s="19"/>
      <c r="I72" s="17"/>
      <c r="J72" s="17"/>
      <c r="K72" s="21"/>
      <c r="L72" s="17"/>
      <c r="M72" s="23"/>
      <c r="N72" s="17"/>
      <c r="O72" s="17"/>
      <c r="P72" s="17"/>
      <c r="Q72" s="17"/>
    </row>
    <row r="73" spans="1:17">
      <c r="A73" s="16" t="str">
        <f t="shared" si="2"/>
        <v/>
      </c>
      <c r="B73" s="17"/>
      <c r="C73" s="17"/>
      <c r="D73" s="16" t="str">
        <f>IFERROR(VLOOKUP(C73,Config!$A$2:$B$8,2,FALSE),"")</f>
        <v/>
      </c>
      <c r="E73" s="25"/>
      <c r="F73" s="17"/>
      <c r="G73" s="17"/>
      <c r="H73" s="19"/>
      <c r="I73" s="17"/>
      <c r="J73" s="17"/>
      <c r="K73" s="21"/>
      <c r="L73" s="17"/>
      <c r="M73" s="23"/>
      <c r="N73" s="17"/>
      <c r="O73" s="17"/>
      <c r="P73" s="17"/>
      <c r="Q73" s="17"/>
    </row>
    <row r="74" spans="1:17">
      <c r="A74" s="16" t="str">
        <f t="shared" si="2"/>
        <v/>
      </c>
      <c r="B74" s="17"/>
      <c r="C74" s="17"/>
      <c r="D74" s="16" t="str">
        <f>IFERROR(VLOOKUP(C74,Config!$A$2:$B$8,2,FALSE),"")</f>
        <v/>
      </c>
      <c r="E74" s="25"/>
      <c r="F74" s="17"/>
      <c r="G74" s="17"/>
      <c r="H74" s="19"/>
      <c r="I74" s="17"/>
      <c r="J74" s="17"/>
      <c r="K74" s="21"/>
      <c r="L74" s="17"/>
      <c r="M74" s="23"/>
      <c r="N74" s="17"/>
      <c r="O74" s="17"/>
      <c r="P74" s="17"/>
      <c r="Q74" s="17"/>
    </row>
    <row r="75" spans="1:17">
      <c r="A75" s="16" t="str">
        <f t="shared" si="2"/>
        <v/>
      </c>
      <c r="B75" s="17"/>
      <c r="C75" s="17"/>
      <c r="D75" s="16" t="str">
        <f>IFERROR(VLOOKUP(C75,Config!$A$2:$B$8,2,FALSE),"")</f>
        <v/>
      </c>
      <c r="E75" s="25"/>
      <c r="F75" s="17"/>
      <c r="G75" s="17"/>
      <c r="H75" s="19"/>
      <c r="I75" s="17"/>
      <c r="J75" s="17"/>
      <c r="K75" s="21"/>
      <c r="L75" s="17"/>
      <c r="M75" s="23"/>
      <c r="N75" s="17"/>
      <c r="O75" s="17"/>
      <c r="P75" s="17"/>
      <c r="Q75" s="17"/>
    </row>
    <row r="76" spans="1:17">
      <c r="A76" s="16" t="str">
        <f t="shared" si="2"/>
        <v/>
      </c>
      <c r="B76" s="17"/>
      <c r="C76" s="17"/>
      <c r="D76" s="16" t="str">
        <f>IFERROR(VLOOKUP(C76,Config!$A$2:$B$8,2,FALSE),"")</f>
        <v/>
      </c>
      <c r="E76" s="25"/>
      <c r="F76" s="17"/>
      <c r="G76" s="17"/>
      <c r="H76" s="19"/>
      <c r="I76" s="17"/>
      <c r="J76" s="17"/>
      <c r="K76" s="21"/>
      <c r="L76" s="17"/>
      <c r="M76" s="23"/>
      <c r="N76" s="17"/>
      <c r="O76" s="17"/>
      <c r="P76" s="17"/>
      <c r="Q76" s="17"/>
    </row>
    <row r="77" spans="1:17">
      <c r="A77" s="16" t="str">
        <f t="shared" si="2"/>
        <v/>
      </c>
      <c r="B77" s="17"/>
      <c r="C77" s="17"/>
      <c r="D77" s="16" t="str">
        <f>IFERROR(VLOOKUP(C77,Config!$A$2:$B$8,2,FALSE),"")</f>
        <v/>
      </c>
      <c r="E77" s="25"/>
      <c r="F77" s="17"/>
      <c r="G77" s="17"/>
      <c r="H77" s="19"/>
      <c r="I77" s="17"/>
      <c r="J77" s="17"/>
      <c r="K77" s="21"/>
      <c r="L77" s="17"/>
      <c r="M77" s="23"/>
      <c r="N77" s="17"/>
      <c r="O77" s="17"/>
      <c r="P77" s="17"/>
      <c r="Q77" s="17"/>
    </row>
    <row r="78" spans="1:17">
      <c r="A78" s="16" t="str">
        <f t="shared" si="2"/>
        <v/>
      </c>
      <c r="B78" s="17"/>
      <c r="C78" s="17"/>
      <c r="D78" s="16" t="str">
        <f>IFERROR(VLOOKUP(C78,Config!$A$2:$B$8,2,FALSE),"")</f>
        <v/>
      </c>
      <c r="E78" s="25"/>
      <c r="F78" s="17"/>
      <c r="G78" s="17"/>
      <c r="H78" s="19"/>
      <c r="I78" s="17"/>
      <c r="J78" s="17"/>
      <c r="K78" s="21"/>
      <c r="L78" s="17"/>
      <c r="M78" s="23"/>
      <c r="N78" s="17"/>
      <c r="O78" s="17"/>
      <c r="P78" s="17"/>
      <c r="Q78" s="17"/>
    </row>
    <row r="79" spans="1:17">
      <c r="A79" s="16" t="str">
        <f t="shared" si="2"/>
        <v/>
      </c>
      <c r="B79" s="17"/>
      <c r="C79" s="17"/>
      <c r="D79" s="16" t="str">
        <f>IFERROR(VLOOKUP(C79,Config!$A$2:$B$8,2,FALSE),"")</f>
        <v/>
      </c>
      <c r="E79" s="25"/>
      <c r="F79" s="17"/>
      <c r="G79" s="17"/>
      <c r="H79" s="19"/>
      <c r="I79" s="17"/>
      <c r="J79" s="17"/>
      <c r="K79" s="21"/>
      <c r="L79" s="17"/>
      <c r="M79" s="23"/>
      <c r="N79" s="17"/>
      <c r="O79" s="17"/>
      <c r="P79" s="17"/>
      <c r="Q79" s="17"/>
    </row>
    <row r="80" spans="1:17">
      <c r="A80" s="16" t="str">
        <f t="shared" si="2"/>
        <v/>
      </c>
      <c r="B80" s="17"/>
      <c r="C80" s="17"/>
      <c r="D80" s="16" t="str">
        <f>IFERROR(VLOOKUP(C80,Config!$A$2:$B$8,2,FALSE),"")</f>
        <v/>
      </c>
      <c r="E80" s="25"/>
      <c r="F80" s="17"/>
      <c r="G80" s="17"/>
      <c r="H80" s="19"/>
      <c r="I80" s="17"/>
      <c r="J80" s="17"/>
      <c r="K80" s="21"/>
      <c r="L80" s="17"/>
      <c r="M80" s="23"/>
      <c r="N80" s="17"/>
      <c r="O80" s="17"/>
      <c r="P80" s="17"/>
      <c r="Q80" s="17"/>
    </row>
    <row r="81" spans="1:17">
      <c r="A81" s="16" t="str">
        <f t="shared" si="2"/>
        <v/>
      </c>
      <c r="B81" s="17"/>
      <c r="C81" s="17"/>
      <c r="D81" s="16" t="str">
        <f>IFERROR(VLOOKUP(C81,Config!$A$2:$B$8,2,FALSE),"")</f>
        <v/>
      </c>
      <c r="E81" s="25"/>
      <c r="F81" s="17"/>
      <c r="G81" s="17"/>
      <c r="H81" s="19"/>
      <c r="I81" s="17"/>
      <c r="J81" s="17"/>
      <c r="K81" s="21"/>
      <c r="L81" s="17"/>
      <c r="M81" s="23"/>
      <c r="N81" s="17"/>
      <c r="O81" s="17"/>
      <c r="P81" s="17"/>
      <c r="Q81" s="17"/>
    </row>
    <row r="82" spans="1:17">
      <c r="A82" s="16" t="str">
        <f t="shared" si="2"/>
        <v/>
      </c>
      <c r="B82" s="17"/>
      <c r="C82" s="17"/>
      <c r="D82" s="16" t="str">
        <f>IFERROR(VLOOKUP(C82,Config!$A$2:$B$8,2,FALSE),"")</f>
        <v/>
      </c>
      <c r="E82" s="25"/>
      <c r="F82" s="17"/>
      <c r="G82" s="17"/>
      <c r="H82" s="19"/>
      <c r="I82" s="17"/>
      <c r="J82" s="17"/>
      <c r="K82" s="21"/>
      <c r="L82" s="17"/>
      <c r="M82" s="23"/>
      <c r="N82" s="17"/>
      <c r="O82" s="17"/>
      <c r="P82" s="17"/>
      <c r="Q82" s="17"/>
    </row>
    <row r="83" spans="1:17">
      <c r="A83" s="16" t="str">
        <f t="shared" si="2"/>
        <v/>
      </c>
      <c r="B83" s="17"/>
      <c r="C83" s="17"/>
      <c r="D83" s="16" t="str">
        <f>IFERROR(VLOOKUP(C83,Config!$A$2:$B$8,2,FALSE),"")</f>
        <v/>
      </c>
      <c r="E83" s="25"/>
      <c r="F83" s="17"/>
      <c r="G83" s="17"/>
      <c r="H83" s="19"/>
      <c r="I83" s="17"/>
      <c r="J83" s="17"/>
      <c r="K83" s="21"/>
      <c r="L83" s="17"/>
      <c r="M83" s="23"/>
      <c r="N83" s="17"/>
      <c r="O83" s="17"/>
      <c r="P83" s="17"/>
      <c r="Q83" s="17"/>
    </row>
    <row r="84" spans="1:17">
      <c r="A84" s="16" t="str">
        <f t="shared" si="2"/>
        <v/>
      </c>
      <c r="B84" s="17"/>
      <c r="C84" s="17"/>
      <c r="D84" s="16" t="str">
        <f>IFERROR(VLOOKUP(C84,Config!$A$2:$B$8,2,FALSE),"")</f>
        <v/>
      </c>
      <c r="E84" s="25"/>
      <c r="F84" s="17"/>
      <c r="G84" s="17"/>
      <c r="H84" s="19"/>
      <c r="I84" s="17"/>
      <c r="J84" s="17"/>
      <c r="K84" s="21"/>
      <c r="L84" s="17"/>
      <c r="M84" s="23"/>
      <c r="N84" s="17"/>
      <c r="O84" s="17"/>
      <c r="P84" s="17"/>
      <c r="Q84" s="17"/>
    </row>
    <row r="85" spans="1:17">
      <c r="A85" s="16" t="str">
        <f t="shared" si="2"/>
        <v/>
      </c>
      <c r="B85" s="17"/>
      <c r="C85" s="17"/>
      <c r="D85" s="16" t="str">
        <f>IFERROR(VLOOKUP(C85,Config!$A$2:$B$8,2,FALSE),"")</f>
        <v/>
      </c>
      <c r="E85" s="25"/>
      <c r="F85" s="17"/>
      <c r="G85" s="17"/>
      <c r="H85" s="19"/>
      <c r="I85" s="17"/>
      <c r="J85" s="17"/>
      <c r="K85" s="21"/>
      <c r="L85" s="17"/>
      <c r="M85" s="23"/>
      <c r="N85" s="17"/>
      <c r="O85" s="17"/>
      <c r="P85" s="17"/>
      <c r="Q85" s="17"/>
    </row>
    <row r="86" spans="1:17">
      <c r="A86" s="16" t="str">
        <f t="shared" si="2"/>
        <v/>
      </c>
      <c r="B86" s="17"/>
      <c r="C86" s="17"/>
      <c r="D86" s="16" t="str">
        <f>IFERROR(VLOOKUP(C86,Config!$A$2:$B$8,2,FALSE),"")</f>
        <v/>
      </c>
      <c r="E86" s="25"/>
      <c r="F86" s="17"/>
      <c r="G86" s="17"/>
      <c r="H86" s="19"/>
      <c r="I86" s="17"/>
      <c r="J86" s="17"/>
      <c r="K86" s="21"/>
      <c r="L86" s="17"/>
      <c r="M86" s="23"/>
      <c r="N86" s="17"/>
      <c r="O86" s="17"/>
      <c r="P86" s="17"/>
      <c r="Q86" s="17"/>
    </row>
    <row r="87" spans="1:17">
      <c r="A87" s="16" t="str">
        <f t="shared" si="2"/>
        <v/>
      </c>
      <c r="B87" s="17"/>
      <c r="C87" s="17"/>
      <c r="D87" s="16" t="str">
        <f>IFERROR(VLOOKUP(C87,Config!$A$2:$B$8,2,FALSE),"")</f>
        <v/>
      </c>
      <c r="E87" s="25"/>
      <c r="F87" s="17"/>
      <c r="G87" s="17"/>
      <c r="H87" s="19"/>
      <c r="I87" s="17"/>
      <c r="J87" s="17"/>
      <c r="K87" s="21"/>
      <c r="L87" s="17"/>
      <c r="M87" s="23"/>
      <c r="N87" s="17"/>
      <c r="O87" s="17"/>
      <c r="P87" s="17"/>
      <c r="Q87" s="17"/>
    </row>
    <row r="88" spans="1:17">
      <c r="A88" s="16" t="str">
        <f t="shared" si="2"/>
        <v/>
      </c>
      <c r="B88" s="17"/>
      <c r="C88" s="17"/>
      <c r="D88" s="16" t="str">
        <f>IFERROR(VLOOKUP(C88,Config!$A$2:$B$8,2,FALSE),"")</f>
        <v/>
      </c>
      <c r="E88" s="25"/>
      <c r="F88" s="17"/>
      <c r="G88" s="17"/>
      <c r="H88" s="19"/>
      <c r="I88" s="17"/>
      <c r="J88" s="17"/>
      <c r="K88" s="21"/>
      <c r="L88" s="17"/>
      <c r="M88" s="23"/>
      <c r="N88" s="17"/>
      <c r="O88" s="17"/>
      <c r="P88" s="17"/>
      <c r="Q88" s="17"/>
    </row>
    <row r="89" spans="1:17">
      <c r="A89" s="16" t="str">
        <f t="shared" si="2"/>
        <v/>
      </c>
      <c r="B89" s="17"/>
      <c r="C89" s="17"/>
      <c r="D89" s="16" t="str">
        <f>IFERROR(VLOOKUP(C89,Config!$A$2:$B$8,2,FALSE),"")</f>
        <v/>
      </c>
      <c r="E89" s="25"/>
      <c r="F89" s="17"/>
      <c r="G89" s="17"/>
      <c r="H89" s="19"/>
      <c r="I89" s="17"/>
      <c r="J89" s="17"/>
      <c r="K89" s="21"/>
      <c r="L89" s="17"/>
      <c r="M89" s="23"/>
      <c r="N89" s="17"/>
      <c r="O89" s="17"/>
      <c r="P89" s="17"/>
      <c r="Q89" s="17"/>
    </row>
    <row r="90" spans="1:17">
      <c r="A90" s="16" t="str">
        <f t="shared" si="2"/>
        <v/>
      </c>
      <c r="B90" s="17"/>
      <c r="C90" s="17"/>
      <c r="D90" s="16" t="str">
        <f>IFERROR(VLOOKUP(C90,Config!$A$2:$B$8,2,FALSE),"")</f>
        <v/>
      </c>
      <c r="E90" s="25"/>
      <c r="F90" s="17"/>
      <c r="G90" s="17"/>
      <c r="H90" s="19"/>
      <c r="I90" s="17"/>
      <c r="J90" s="17"/>
      <c r="K90" s="21"/>
      <c r="L90" s="17"/>
      <c r="M90" s="23"/>
      <c r="N90" s="17"/>
      <c r="O90" s="17"/>
      <c r="P90" s="17"/>
      <c r="Q90" s="17"/>
    </row>
    <row r="91" spans="1:17">
      <c r="A91" s="16" t="str">
        <f t="shared" si="2"/>
        <v/>
      </c>
      <c r="B91" s="17"/>
      <c r="C91" s="17"/>
      <c r="D91" s="16" t="str">
        <f>IFERROR(VLOOKUP(C91,Config!$A$2:$B$8,2,FALSE),"")</f>
        <v/>
      </c>
      <c r="E91" s="25"/>
      <c r="F91" s="17"/>
      <c r="G91" s="17"/>
      <c r="H91" s="19"/>
      <c r="I91" s="17"/>
      <c r="J91" s="17"/>
      <c r="K91" s="21"/>
      <c r="L91" s="17"/>
      <c r="M91" s="23"/>
      <c r="N91" s="17"/>
      <c r="O91" s="17"/>
      <c r="P91" s="17"/>
      <c r="Q91" s="17"/>
    </row>
    <row r="92" spans="1:17">
      <c r="A92" s="16" t="str">
        <f t="shared" si="2"/>
        <v/>
      </c>
      <c r="B92" s="17"/>
      <c r="C92" s="17"/>
      <c r="D92" s="16" t="str">
        <f>IFERROR(VLOOKUP(C92,Config!$A$2:$B$8,2,FALSE),"")</f>
        <v/>
      </c>
      <c r="E92" s="25"/>
      <c r="F92" s="17"/>
      <c r="G92" s="17"/>
      <c r="H92" s="19"/>
      <c r="I92" s="17"/>
      <c r="J92" s="17"/>
      <c r="K92" s="21"/>
      <c r="L92" s="17"/>
      <c r="M92" s="23"/>
      <c r="N92" s="17"/>
      <c r="O92" s="17"/>
      <c r="P92" s="17"/>
      <c r="Q92" s="17"/>
    </row>
    <row r="93" spans="1:17">
      <c r="A93" s="16" t="str">
        <f t="shared" si="2"/>
        <v/>
      </c>
      <c r="B93" s="17"/>
      <c r="C93" s="17"/>
      <c r="D93" s="16" t="str">
        <f>IFERROR(VLOOKUP(C93,Config!$A$2:$B$8,2,FALSE),"")</f>
        <v/>
      </c>
      <c r="E93" s="25"/>
      <c r="F93" s="17"/>
      <c r="G93" s="17"/>
      <c r="H93" s="19"/>
      <c r="I93" s="17"/>
      <c r="J93" s="17"/>
      <c r="K93" s="21"/>
      <c r="L93" s="17"/>
      <c r="M93" s="23"/>
      <c r="N93" s="17"/>
      <c r="O93" s="17"/>
      <c r="P93" s="17"/>
      <c r="Q93" s="17"/>
    </row>
    <row r="94" spans="1:17">
      <c r="A94" s="16" t="str">
        <f t="shared" si="2"/>
        <v/>
      </c>
      <c r="B94" s="17"/>
      <c r="C94" s="17"/>
      <c r="D94" s="16" t="str">
        <f>IFERROR(VLOOKUP(C94,Config!$A$2:$B$8,2,FALSE),"")</f>
        <v/>
      </c>
      <c r="E94" s="25"/>
      <c r="F94" s="17"/>
      <c r="G94" s="17"/>
      <c r="H94" s="19"/>
      <c r="I94" s="17"/>
      <c r="J94" s="17"/>
      <c r="K94" s="21"/>
      <c r="L94" s="17"/>
      <c r="M94" s="23"/>
      <c r="N94" s="17"/>
      <c r="O94" s="17"/>
      <c r="P94" s="17"/>
      <c r="Q94" s="17"/>
    </row>
    <row r="95" spans="1:17">
      <c r="A95" s="16" t="str">
        <f t="shared" si="2"/>
        <v/>
      </c>
      <c r="B95" s="17"/>
      <c r="C95" s="17"/>
      <c r="D95" s="16" t="str">
        <f>IFERROR(VLOOKUP(C95,Config!$A$2:$B$8,2,FALSE),"")</f>
        <v/>
      </c>
      <c r="E95" s="25"/>
      <c r="F95" s="17"/>
      <c r="G95" s="17"/>
      <c r="H95" s="19"/>
      <c r="I95" s="17"/>
      <c r="J95" s="17"/>
      <c r="K95" s="21"/>
      <c r="L95" s="17"/>
      <c r="M95" s="23"/>
      <c r="N95" s="17"/>
      <c r="O95" s="17"/>
      <c r="P95" s="17"/>
      <c r="Q95" s="17"/>
    </row>
    <row r="96" spans="1:17">
      <c r="A96" s="16" t="str">
        <f t="shared" si="2"/>
        <v/>
      </c>
      <c r="B96" s="17"/>
      <c r="C96" s="17"/>
      <c r="D96" s="16" t="str">
        <f>IFERROR(VLOOKUP(C96,Config!$A$2:$B$8,2,FALSE),"")</f>
        <v/>
      </c>
      <c r="E96" s="25"/>
      <c r="F96" s="17"/>
      <c r="G96" s="17"/>
      <c r="H96" s="19"/>
      <c r="I96" s="17"/>
      <c r="J96" s="17"/>
      <c r="K96" s="21"/>
      <c r="L96" s="17"/>
      <c r="M96" s="23"/>
      <c r="N96" s="17"/>
      <c r="O96" s="17"/>
      <c r="P96" s="17"/>
      <c r="Q96" s="17"/>
    </row>
    <row r="97" spans="1:17">
      <c r="A97" s="16" t="str">
        <f t="shared" si="2"/>
        <v/>
      </c>
      <c r="B97" s="17"/>
      <c r="C97" s="17"/>
      <c r="D97" s="16" t="str">
        <f>IFERROR(VLOOKUP(C97,Config!$A$2:$B$8,2,FALSE),"")</f>
        <v/>
      </c>
      <c r="E97" s="25"/>
      <c r="F97" s="17"/>
      <c r="G97" s="17"/>
      <c r="H97" s="19"/>
      <c r="I97" s="17"/>
      <c r="J97" s="17"/>
      <c r="K97" s="21"/>
      <c r="L97" s="17"/>
      <c r="M97" s="23"/>
      <c r="N97" s="17"/>
      <c r="O97" s="17"/>
      <c r="P97" s="17"/>
      <c r="Q97" s="17"/>
    </row>
    <row r="98" spans="1:17">
      <c r="A98" s="16" t="str">
        <f t="shared" si="2"/>
        <v/>
      </c>
      <c r="B98" s="17"/>
      <c r="C98" s="17"/>
      <c r="D98" s="16" t="str">
        <f>IFERROR(VLOOKUP(C98,Config!$A$2:$B$8,2,FALSE),"")</f>
        <v/>
      </c>
      <c r="E98" s="25"/>
      <c r="F98" s="17"/>
      <c r="G98" s="17"/>
      <c r="H98" s="19"/>
      <c r="I98" s="17"/>
      <c r="J98" s="17"/>
      <c r="K98" s="21"/>
      <c r="L98" s="17"/>
      <c r="M98" s="23"/>
      <c r="N98" s="17"/>
      <c r="O98" s="17"/>
      <c r="P98" s="17"/>
      <c r="Q98" s="17"/>
    </row>
    <row r="99" spans="1:17">
      <c r="A99" s="16" t="str">
        <f t="shared" si="2"/>
        <v/>
      </c>
      <c r="B99" s="17"/>
      <c r="C99" s="17"/>
      <c r="D99" s="16" t="str">
        <f>IFERROR(VLOOKUP(C99,Config!$A$2:$B$8,2,FALSE),"")</f>
        <v/>
      </c>
      <c r="E99" s="25"/>
      <c r="F99" s="17"/>
      <c r="G99" s="17"/>
      <c r="H99" s="19"/>
      <c r="I99" s="17"/>
      <c r="J99" s="17"/>
      <c r="K99" s="21"/>
      <c r="L99" s="17"/>
      <c r="M99" s="23"/>
      <c r="N99" s="17"/>
      <c r="O99" s="17"/>
      <c r="P99" s="17"/>
      <c r="Q99" s="17"/>
    </row>
    <row r="100" spans="1:17">
      <c r="A100" s="16" t="str">
        <f t="shared" si="2"/>
        <v/>
      </c>
      <c r="B100" s="17"/>
      <c r="C100" s="17"/>
      <c r="D100" s="16" t="str">
        <f>IFERROR(VLOOKUP(C100,Config!$A$2:$B$8,2,FALSE),"")</f>
        <v/>
      </c>
      <c r="E100" s="25"/>
      <c r="F100" s="17"/>
      <c r="G100" s="17"/>
      <c r="H100" s="19"/>
      <c r="I100" s="17"/>
      <c r="J100" s="17"/>
      <c r="K100" s="21"/>
      <c r="L100" s="17"/>
      <c r="M100" s="23"/>
      <c r="N100" s="17"/>
      <c r="O100" s="17"/>
      <c r="P100" s="17"/>
      <c r="Q100" s="17"/>
    </row>
    <row r="101" spans="1:17">
      <c r="A101" s="16" t="str">
        <f t="shared" ref="A101:A132" si="3">IF(OR(B101="",D101="",E101=""),"",UPPER(B101)&amp;"-"&amp;UPPER(D101)&amp;"-"&amp;E101)</f>
        <v/>
      </c>
      <c r="B101" s="17"/>
      <c r="C101" s="17"/>
      <c r="D101" s="16" t="str">
        <f>IFERROR(VLOOKUP(C101,Config!$A$2:$B$8,2,FALSE),"")</f>
        <v/>
      </c>
      <c r="E101" s="25"/>
      <c r="F101" s="17"/>
      <c r="G101" s="17"/>
      <c r="H101" s="19"/>
      <c r="I101" s="17"/>
      <c r="J101" s="17"/>
      <c r="K101" s="21"/>
      <c r="L101" s="17"/>
      <c r="M101" s="23"/>
      <c r="N101" s="17"/>
      <c r="O101" s="17"/>
      <c r="P101" s="17"/>
      <c r="Q101" s="17"/>
    </row>
    <row r="102" spans="1:17">
      <c r="A102" s="16" t="str">
        <f t="shared" si="3"/>
        <v/>
      </c>
      <c r="B102" s="17"/>
      <c r="C102" s="17"/>
      <c r="D102" s="16" t="str">
        <f>IFERROR(VLOOKUP(C102,Config!$A$2:$B$8,2,FALSE),"")</f>
        <v/>
      </c>
      <c r="E102" s="25"/>
      <c r="F102" s="17"/>
      <c r="G102" s="17"/>
      <c r="H102" s="19"/>
      <c r="I102" s="17"/>
      <c r="J102" s="17"/>
      <c r="K102" s="21"/>
      <c r="L102" s="17"/>
      <c r="M102" s="23"/>
      <c r="N102" s="17"/>
      <c r="O102" s="17"/>
      <c r="P102" s="17"/>
      <c r="Q102" s="17"/>
    </row>
    <row r="103" spans="1:17">
      <c r="A103" s="16" t="str">
        <f t="shared" si="3"/>
        <v/>
      </c>
      <c r="B103" s="17"/>
      <c r="C103" s="17"/>
      <c r="D103" s="16" t="str">
        <f>IFERROR(VLOOKUP(C103,Config!$A$2:$B$8,2,FALSE),"")</f>
        <v/>
      </c>
      <c r="E103" s="25"/>
      <c r="F103" s="17"/>
      <c r="G103" s="17"/>
      <c r="H103" s="19"/>
      <c r="I103" s="17"/>
      <c r="J103" s="17"/>
      <c r="K103" s="21"/>
      <c r="L103" s="17"/>
      <c r="M103" s="23"/>
      <c r="N103" s="17"/>
      <c r="O103" s="17"/>
      <c r="P103" s="17"/>
      <c r="Q103" s="17"/>
    </row>
    <row r="104" spans="1:17">
      <c r="A104" s="16" t="str">
        <f t="shared" si="3"/>
        <v/>
      </c>
      <c r="B104" s="17"/>
      <c r="C104" s="17"/>
      <c r="D104" s="16" t="str">
        <f>IFERROR(VLOOKUP(C104,Config!$A$2:$B$8,2,FALSE),"")</f>
        <v/>
      </c>
      <c r="E104" s="25"/>
      <c r="F104" s="17"/>
      <c r="G104" s="17"/>
      <c r="H104" s="19"/>
      <c r="I104" s="17"/>
      <c r="J104" s="17"/>
      <c r="K104" s="21"/>
      <c r="L104" s="17"/>
      <c r="M104" s="23"/>
      <c r="N104" s="17"/>
      <c r="O104" s="17"/>
      <c r="P104" s="17"/>
      <c r="Q104" s="17"/>
    </row>
    <row r="105" spans="1:17">
      <c r="A105" s="16" t="str">
        <f t="shared" si="3"/>
        <v/>
      </c>
      <c r="B105" s="17"/>
      <c r="C105" s="17"/>
      <c r="D105" s="16" t="str">
        <f>IFERROR(VLOOKUP(C105,Config!$A$2:$B$8,2,FALSE),"")</f>
        <v/>
      </c>
      <c r="E105" s="25"/>
      <c r="F105" s="17"/>
      <c r="G105" s="17"/>
      <c r="H105" s="19"/>
      <c r="I105" s="17"/>
      <c r="J105" s="17"/>
      <c r="K105" s="21"/>
      <c r="L105" s="17"/>
      <c r="M105" s="23"/>
      <c r="N105" s="17"/>
      <c r="O105" s="17"/>
      <c r="P105" s="17"/>
      <c r="Q105" s="17"/>
    </row>
  </sheetData>
  <mergeCells count="2">
    <mergeCell ref="A1:Q1"/>
    <mergeCell ref="A2:Q2"/>
  </mergeCells>
  <dataValidations count="1">
    <dataValidation type="whole" sqref="M5:M105" xr:uid="{00000000-0002-0000-0100-000006000000}">
      <formula1>1</formula1>
      <formula2>10</formula2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xr:uid="{00000000-0002-0000-0100-000000000000}">
          <x14:formula1>
            <xm:f>Config!$F$2:$F$5</xm:f>
          </x14:formula1>
          <xm:sqref>B5:B105</xm:sqref>
        </x14:dataValidation>
        <x14:dataValidation type="list" xr:uid="{00000000-0002-0000-0100-000001000000}">
          <x14:formula1>
            <xm:f>Config!$A$2:$A$8</xm:f>
          </x14:formula1>
          <xm:sqref>C5:C105</xm:sqref>
        </x14:dataValidation>
        <x14:dataValidation type="list" xr:uid="{00000000-0002-0000-0100-000002000000}">
          <x14:formula1>
            <xm:f>Config!$I$2:$I$6</xm:f>
          </x14:formula1>
          <xm:sqref>G5:G105</xm:sqref>
        </x14:dataValidation>
        <x14:dataValidation type="list" xr:uid="{00000000-0002-0000-0100-000003000000}">
          <x14:formula1>
            <xm:f>Config!$G$2:$G$5</xm:f>
          </x14:formula1>
          <xm:sqref>I5:I105</xm:sqref>
        </x14:dataValidation>
        <x14:dataValidation type="list" xr:uid="{00000000-0002-0000-0100-000004000000}">
          <x14:formula1>
            <xm:f>Config!$K$2:$K$5</xm:f>
          </x14:formula1>
          <xm:sqref>L5:L105</xm:sqref>
        </x14:dataValidation>
        <x14:dataValidation type="list" xr:uid="{00000000-0002-0000-0100-000005000000}">
          <x14:formula1>
            <xm:f>Config!$M$2:$M$6</xm:f>
          </x14:formula1>
          <xm:sqref>N5:N105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8"/>
  <sheetViews>
    <sheetView showGridLines="0" workbookViewId="0"/>
  </sheetViews>
  <sheetFormatPr defaultRowHeight="14.25"/>
  <cols>
    <col min="1" max="1" width="18" customWidth="1"/>
    <col min="2" max="2" width="14" customWidth="1"/>
    <col min="4" max="7" width="18" customWidth="1"/>
    <col min="9" max="9" width="16" customWidth="1"/>
    <col min="11" max="11" width="16" customWidth="1"/>
    <col min="13" max="13" width="16" customWidth="1"/>
  </cols>
  <sheetData>
    <row r="1" spans="1:13">
      <c r="A1" s="2" t="s">
        <v>10</v>
      </c>
      <c r="B1" s="2" t="s">
        <v>70</v>
      </c>
      <c r="C1" s="3"/>
      <c r="D1" s="2" t="s">
        <v>71</v>
      </c>
      <c r="E1" s="2" t="s">
        <v>72</v>
      </c>
      <c r="F1" s="2" t="s">
        <v>73</v>
      </c>
      <c r="G1" s="2" t="s">
        <v>26</v>
      </c>
      <c r="H1" s="3"/>
      <c r="I1" s="2" t="s">
        <v>21</v>
      </c>
      <c r="J1" s="3"/>
      <c r="K1" s="2" t="s">
        <v>34</v>
      </c>
      <c r="L1" s="3"/>
      <c r="M1" s="2" t="s">
        <v>39</v>
      </c>
    </row>
    <row r="2" spans="1:13">
      <c r="A2" s="3" t="s">
        <v>11</v>
      </c>
      <c r="B2" s="3" t="s">
        <v>74</v>
      </c>
      <c r="C2" s="3"/>
      <c r="D2" s="3" t="s">
        <v>75</v>
      </c>
      <c r="E2" s="3" t="s">
        <v>76</v>
      </c>
      <c r="F2" s="3" t="s">
        <v>8</v>
      </c>
      <c r="G2" s="3" t="s">
        <v>27</v>
      </c>
      <c r="H2" s="3"/>
      <c r="I2" s="3" t="s">
        <v>22</v>
      </c>
      <c r="J2" s="3"/>
      <c r="K2" s="3" t="s">
        <v>77</v>
      </c>
      <c r="L2" s="3"/>
      <c r="M2" s="3" t="s">
        <v>78</v>
      </c>
    </row>
    <row r="3" spans="1:13">
      <c r="A3" s="3" t="s">
        <v>79</v>
      </c>
      <c r="B3" s="3" t="s">
        <v>80</v>
      </c>
      <c r="C3" s="3"/>
      <c r="D3" s="3" t="s">
        <v>75</v>
      </c>
      <c r="E3" s="3" t="s">
        <v>76</v>
      </c>
      <c r="F3" s="3" t="s">
        <v>8</v>
      </c>
      <c r="G3" s="3" t="s">
        <v>81</v>
      </c>
      <c r="H3" s="3"/>
      <c r="I3" s="3" t="s">
        <v>82</v>
      </c>
      <c r="J3" s="3"/>
      <c r="K3" s="3" t="s">
        <v>83</v>
      </c>
      <c r="L3" s="3"/>
      <c r="M3" s="3" t="s">
        <v>40</v>
      </c>
    </row>
    <row r="4" spans="1:13">
      <c r="A4" s="3" t="s">
        <v>84</v>
      </c>
      <c r="B4" s="3" t="s">
        <v>85</v>
      </c>
      <c r="C4" s="3"/>
      <c r="D4" s="3" t="s">
        <v>86</v>
      </c>
      <c r="E4" s="3" t="s">
        <v>87</v>
      </c>
      <c r="F4" s="3" t="s">
        <v>88</v>
      </c>
      <c r="G4" s="3" t="s">
        <v>89</v>
      </c>
      <c r="H4" s="3"/>
      <c r="I4" s="3" t="s">
        <v>90</v>
      </c>
      <c r="J4" s="3"/>
      <c r="K4" s="3" t="s">
        <v>35</v>
      </c>
      <c r="L4" s="3"/>
      <c r="M4" s="3" t="s">
        <v>91</v>
      </c>
    </row>
    <row r="5" spans="1:13">
      <c r="A5" s="3" t="s">
        <v>92</v>
      </c>
      <c r="B5" s="3" t="s">
        <v>93</v>
      </c>
      <c r="C5" s="3"/>
      <c r="D5" s="3" t="s">
        <v>86</v>
      </c>
      <c r="E5" s="3" t="s">
        <v>87</v>
      </c>
      <c r="F5" s="3" t="s">
        <v>88</v>
      </c>
      <c r="G5" s="3" t="s">
        <v>94</v>
      </c>
      <c r="H5" s="3"/>
      <c r="I5" s="3" t="s">
        <v>95</v>
      </c>
      <c r="J5" s="3"/>
      <c r="K5" s="3" t="s">
        <v>96</v>
      </c>
      <c r="L5" s="3"/>
      <c r="M5" s="3" t="s">
        <v>97</v>
      </c>
    </row>
    <row r="6" spans="1:13">
      <c r="A6" s="3" t="s">
        <v>98</v>
      </c>
      <c r="B6" s="3" t="s">
        <v>99</v>
      </c>
      <c r="C6" s="3"/>
      <c r="D6" s="3"/>
      <c r="E6" s="3"/>
      <c r="F6" s="3"/>
      <c r="G6" s="3"/>
      <c r="H6" s="3"/>
      <c r="I6" s="3" t="s">
        <v>100</v>
      </c>
      <c r="J6" s="3"/>
      <c r="K6" s="3"/>
      <c r="L6" s="3"/>
      <c r="M6" s="3" t="s">
        <v>101</v>
      </c>
    </row>
    <row r="7" spans="1:13">
      <c r="A7" s="3" t="s">
        <v>102</v>
      </c>
      <c r="B7" s="3" t="s">
        <v>103</v>
      </c>
      <c r="C7" s="3"/>
      <c r="D7" s="3"/>
      <c r="E7" s="3"/>
      <c r="F7" s="3"/>
      <c r="G7" s="3"/>
      <c r="H7" s="3"/>
      <c r="I7" s="3"/>
      <c r="J7" s="3"/>
      <c r="K7" s="3"/>
      <c r="L7" s="3"/>
      <c r="M7" s="3"/>
    </row>
    <row r="8" spans="1:13">
      <c r="A8" s="3" t="s">
        <v>104</v>
      </c>
      <c r="B8" s="3" t="s">
        <v>105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Mobile Form</vt:lpstr>
      <vt:lpstr>Bulk Import</vt:lpstr>
      <vt:lpstr>Config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2026-10-01T05:49:13Z</dcterms:modified>
</cp:coreProperties>
</file>